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px-accounts" sheetId="2" state="visible" r:id="rId2"/>
    <sheet xmlns:r="http://schemas.openxmlformats.org/officeDocument/2006/relationships" name="apx-alerts" sheetId="3" state="visible" r:id="rId3"/>
    <sheet xmlns:r="http://schemas.openxmlformats.org/officeDocument/2006/relationships" name="apx-control" sheetId="4" state="visible" r:id="rId4"/>
    <sheet xmlns:r="http://schemas.openxmlformats.org/officeDocument/2006/relationships" name="apx-credentials" sheetId="5" state="visible" r:id="rId5"/>
    <sheet xmlns:r="http://schemas.openxmlformats.org/officeDocument/2006/relationships" name="apx-data" sheetId="6" state="visible" r:id="rId6"/>
    <sheet xmlns:r="http://schemas.openxmlformats.org/officeDocument/2006/relationships" name="apx-discovery" sheetId="7" state="visible" r:id="rId7"/>
    <sheet xmlns:r="http://schemas.openxmlformats.org/officeDocument/2006/relationships" name="apx-events" sheetId="8" state="visible" r:id="rId8"/>
    <sheet xmlns:r="http://schemas.openxmlformats.org/officeDocument/2006/relationships" name="apx-lpr" sheetId="9" state="visible" r:id="rId9"/>
    <sheet xmlns:r="http://schemas.openxmlformats.org/officeDocument/2006/relationships" name="apx-permits" sheetId="10" state="visible" r:id="rId10"/>
    <sheet xmlns:r="http://schemas.openxmlformats.org/officeDocument/2006/relationships" name="apx-reservations" sheetId="11" state="visible" r:id="rId11"/>
    <sheet xmlns:r="http://schemas.openxmlformats.org/officeDocument/2006/relationships" name="apx-resolution" sheetId="12" state="visible" r:id="rId12"/>
    <sheet xmlns:r="http://schemas.openxmlformats.org/officeDocument/2006/relationships" name="apx-tolling" sheetId="13" state="visible" r:id="rId13"/>
    <sheet xmlns:r="http://schemas.openxmlformats.org/officeDocument/2006/relationships" name="apx-valet" sheetId="14" state="visible" r:id="rId14"/>
    <sheet xmlns:r="http://schemas.openxmlformats.org/officeDocument/2006/relationships" name="apx-validations" sheetId="15" state="visible" r:id="rId15"/>
    <sheet xmlns:r="http://schemas.openxmlformats.org/officeDocument/2006/relationships" name="apx-violations" sheetId="16" state="visible" r:id="rId1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sz val="14"/>
    </font>
    <font>
      <name val="Arial"/>
      <i val="1"/>
      <color rgb="00595959"/>
      <sz val="9"/>
    </font>
    <font>
      <name val="Arial"/>
      <color rgb="000563C1"/>
      <sz val="10"/>
      <u val="single"/>
    </font>
    <font>
      <name val="Arial"/>
      <b val="1"/>
      <sz val="10"/>
    </font>
  </fonts>
  <fills count="3">
    <fill>
      <patternFill/>
    </fill>
    <fill>
      <patternFill patternType="gray125"/>
    </fill>
    <fill>
      <patternFill patternType="solid">
        <fgColor rgb="001F3864"/>
      </patternFill>
    </fill>
  </fills>
  <borders count="3">
    <border>
      <left/>
      <right/>
      <top/>
      <bottom/>
      <diagonal/>
    </border>
    <border>
      <bottom style="thin">
        <color rgb="00BFBFBF"/>
      </bottom>
    </border>
    <border>
      <top style="thin">
        <color rgb="00BFBFBF"/>
      </top>
    </border>
  </borders>
  <cellStyleXfs count="1">
    <xf numFmtId="0" fontId="0" fillId="0" borderId="0"/>
  </cellStyleXfs>
  <cellXfs count="8">
    <xf numFmtId="0" fontId="0" fillId="0" borderId="0" pivotButton="0" quotePrefix="0" xfId="0"/>
    <xf numFmtId="0" fontId="3" fillId="0" borderId="0" pivotButton="0" quotePrefix="0" xfId="0"/>
    <xf numFmtId="0" fontId="4" fillId="0" borderId="0" pivotButton="0" quotePrefix="0" xfId="0"/>
    <xf numFmtId="0" fontId="1" fillId="2" borderId="1" applyAlignment="1" pivotButton="0" quotePrefix="0" xfId="0">
      <alignment vertical="center" wrapText="1"/>
    </xf>
    <xf numFmtId="0" fontId="5" fillId="0" borderId="0" applyAlignment="1" pivotButton="0" quotePrefix="0" xfId="0">
      <alignment vertical="top" wrapText="1"/>
    </xf>
    <xf numFmtId="0" fontId="2" fillId="0" borderId="0" applyAlignment="1" pivotButton="0" quotePrefix="0" xfId="0">
      <alignment vertical="top" wrapText="1"/>
    </xf>
    <xf numFmtId="0" fontId="6" fillId="0" borderId="2"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worksheet" Target="/xl/worksheets/sheet13.xml"/><Relationship Id="rId18" Type="http://schemas.openxmlformats.org/officeDocument/2006/relationships/theme" Target="theme/theme1.xml"/><Relationship Id="rId3" Type="http://schemas.openxmlformats.org/officeDocument/2006/relationships/worksheet" Target="/xl/worksheets/sheet3.xml"/><Relationship Id="rId21" Type="http://schemas.openxmlformats.org/officeDocument/2006/relationships/customXml" Target="../customXml/item3.xml"/><Relationship Id="rId7" Type="http://schemas.openxmlformats.org/officeDocument/2006/relationships/worksheet" Target="/xl/worksheets/sheet7.xml"/><Relationship Id="rId12" Type="http://schemas.openxmlformats.org/officeDocument/2006/relationships/worksheet" Target="/xl/worksheets/sheet12.xml"/><Relationship Id="rId17" Type="http://schemas.openxmlformats.org/officeDocument/2006/relationships/styles" Target="styles.xml"/><Relationship Id="rId2" Type="http://schemas.openxmlformats.org/officeDocument/2006/relationships/worksheet" Target="/xl/worksheets/sheet2.xml"/><Relationship Id="rId16" Type="http://schemas.openxmlformats.org/officeDocument/2006/relationships/worksheet" Target="/xl/worksheets/sheet16.xml"/><Relationship Id="rId20" Type="http://schemas.openxmlformats.org/officeDocument/2006/relationships/customXml" Target="../customXml/item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worksheet" Target="/xl/worksheets/sheet15.xml"/><Relationship Id="rId10" Type="http://schemas.openxmlformats.org/officeDocument/2006/relationships/worksheet" Target="/xl/worksheets/sheet10.xml"/><Relationship Id="rId19" Type="http://schemas.openxmlformats.org/officeDocument/2006/relationships/customXml" Target="../customXml/item1.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worksheet" Target="/xl/worksheets/sheet14.xml"/></Relationships>
</file>

<file path=xl/tables/table1.xml><?xml version="1.0" encoding="utf-8"?>
<table xmlns="http://schemas.openxmlformats.org/spreadsheetml/2006/main" id="1" name="T_apx_accounts" displayName="T_apx_accounts" ref="A1:H27" headerRowCount="1">
  <autoFilter ref="A1:H27"/>
  <tableColumns count="8">
    <tableColumn id="1" name="ID"/>
    <tableColumn id="2" name="Title"/>
    <tableColumn id="3" name="Kind"/>
    <tableColumn id="4" name="Annex A rows"/>
    <tableColumn id="5" name="Scenario (Given / When / Then)"/>
    <tableColumn id="6" name="Exchanges (request → status)"/>
    <tableColumn id="7" name="Exchange count"/>
    <tableColumn id="8" name="Open spec gap"/>
  </tableColumns>
  <tableStyleInfo name="TableStyleLight9" showRowStripes="1"/>
</table>
</file>

<file path=xl/tables/table2.xml><?xml version="1.0" encoding="utf-8"?>
<table xmlns="http://schemas.openxmlformats.org/spreadsheetml/2006/main" id="2" name="T_apx_alerts" displayName="T_apx_alerts" ref="A1:H23" headerRowCount="1">
  <autoFilter ref="A1:H23"/>
  <tableColumns count="8">
    <tableColumn id="1" name="ID"/>
    <tableColumn id="2" name="Title"/>
    <tableColumn id="3" name="Kind"/>
    <tableColumn id="4" name="Annex A rows"/>
    <tableColumn id="5" name="Scenario (Given / When / Then)"/>
    <tableColumn id="6" name="Exchanges (request → status)"/>
    <tableColumn id="7" name="Exchange count"/>
    <tableColumn id="8" name="Open spec gap"/>
  </tableColumns>
  <tableStyleInfo name="TableStyleLight9" showRowStripes="1"/>
</table>
</file>

<file path=xl/tables/table3.xml><?xml version="1.0" encoding="utf-8"?>
<table xmlns="http://schemas.openxmlformats.org/spreadsheetml/2006/main" id="3" name="T_apx_control" displayName="T_apx_control" ref="A1:H26" headerRowCount="1">
  <autoFilter ref="A1:H26"/>
  <tableColumns count="8">
    <tableColumn id="1" name="ID"/>
    <tableColumn id="2" name="Title"/>
    <tableColumn id="3" name="Kind"/>
    <tableColumn id="4" name="Annex A rows"/>
    <tableColumn id="5" name="Scenario (Given / When / Then)"/>
    <tableColumn id="6" name="Exchanges (request → status)"/>
    <tableColumn id="7" name="Exchange count"/>
    <tableColumn id="8" name="Open spec gap"/>
  </tableColumns>
  <tableStyleInfo name="TableStyleLight9" showRowStripes="1"/>
</table>
</file>

<file path=xl/tables/table4.xml><?xml version="1.0" encoding="utf-8"?>
<table xmlns="http://schemas.openxmlformats.org/spreadsheetml/2006/main" id="4" name="T_apx_credentials" displayName="T_apx_credentials" ref="A1:H26" headerRowCount="1">
  <autoFilter ref="A1:H26"/>
  <tableColumns count="8">
    <tableColumn id="1" name="ID"/>
    <tableColumn id="2" name="Title"/>
    <tableColumn id="3" name="Kind"/>
    <tableColumn id="4" name="Annex A rows"/>
    <tableColumn id="5" name="Scenario (Given / When / Then)"/>
    <tableColumn id="6" name="Exchanges (request → status)"/>
    <tableColumn id="7" name="Exchange count"/>
    <tableColumn id="8" name="Open spec gap"/>
  </tableColumns>
  <tableStyleInfo name="TableStyleLight9" showRowStripes="1"/>
</table>
</file>

<file path=xl/tables/table5.xml><?xml version="1.0" encoding="utf-8"?>
<table xmlns="http://schemas.openxmlformats.org/spreadsheetml/2006/main" id="5" name="T_apx_data" displayName="T_apx_data" ref="A1:H34" headerRowCount="1">
  <autoFilter ref="A1:H34"/>
  <tableColumns count="8">
    <tableColumn id="1" name="ID"/>
    <tableColumn id="2" name="Title"/>
    <tableColumn id="3" name="Kind"/>
    <tableColumn id="4" name="Annex A rows"/>
    <tableColumn id="5" name="Scenario (Given / When / Then)"/>
    <tableColumn id="6" name="Exchanges (request → status)"/>
    <tableColumn id="7" name="Exchange count"/>
    <tableColumn id="8" name="Open spec gap"/>
  </tableColumns>
  <tableStyleInfo name="TableStyleLight9" showRowStripes="1"/>
</table>
</file>

<file path=xl/tables/table6.xml><?xml version="1.0" encoding="utf-8"?>
<table xmlns="http://schemas.openxmlformats.org/spreadsheetml/2006/main" id="6" name="T_apx_discovery" displayName="T_apx_discovery" ref="A1:H17" headerRowCount="1">
  <autoFilter ref="A1:H17"/>
  <tableColumns count="8">
    <tableColumn id="1" name="ID"/>
    <tableColumn id="2" name="Title"/>
    <tableColumn id="3" name="Kind"/>
    <tableColumn id="4" name="Annex A rows"/>
    <tableColumn id="5" name="Scenario (Given / When / Then)"/>
    <tableColumn id="6" name="Exchanges (request → status)"/>
    <tableColumn id="7" name="Exchange count"/>
    <tableColumn id="8" name="Open spec gap"/>
  </tableColumns>
  <tableStyleInfo name="TableStyleLight9" showRowStripes="1"/>
</table>
</file>

<file path=xl/tables/table7.xml><?xml version="1.0" encoding="utf-8"?>
<table xmlns="http://schemas.openxmlformats.org/spreadsheetml/2006/main" id="7" name="T_apx_events" displayName="T_apx_events" ref="A1:H25" headerRowCount="1">
  <autoFilter ref="A1:H25"/>
  <tableColumns count="8">
    <tableColumn id="1" name="ID"/>
    <tableColumn id="2" name="Title"/>
    <tableColumn id="3" name="Kind"/>
    <tableColumn id="4" name="Annex A rows"/>
    <tableColumn id="5" name="Scenario (Given / When / Then)"/>
    <tableColumn id="6" name="Exchanges (request → status)"/>
    <tableColumn id="7" name="Exchange count"/>
    <tableColumn id="8" name="Open spec gap"/>
  </tableColumns>
  <tableStyleInfo name="TableStyleLight9" showRowStripes="1"/>
</table>
</file>

<file path=xl/tables/table8.xml><?xml version="1.0" encoding="utf-8"?>
<table xmlns="http://schemas.openxmlformats.org/spreadsheetml/2006/main" id="8" name="T_apx_lpr" displayName="T_apx_lpr" ref="A1:H23" headerRowCount="1">
  <autoFilter ref="A1:H23"/>
  <tableColumns count="8">
    <tableColumn id="1" name="ID"/>
    <tableColumn id="2" name="Title"/>
    <tableColumn id="3" name="Kind"/>
    <tableColumn id="4" name="Annex A rows"/>
    <tableColumn id="5" name="Scenario (Given / When / Then)"/>
    <tableColumn id="6" name="Exchanges (request → status)"/>
    <tableColumn id="7" name="Exchange count"/>
    <tableColumn id="8" name="Open spec gap"/>
  </tableColumns>
  <tableStyleInfo name="TableStyleLight9" showRowStripes="1"/>
</table>
</file>

<file path=xl/tables/table9.xml><?xml version="1.0" encoding="utf-8"?>
<table xmlns="http://schemas.openxmlformats.org/spreadsheetml/2006/main" id="9" name="T_apx_permits" displayName="T_apx_permits" ref="A1:H16" headerRowCount="1">
  <autoFilter ref="A1:H16"/>
  <tableColumns count="8">
    <tableColumn id="1" name="ID"/>
    <tableColumn id="2" name="Title"/>
    <tableColumn id="3" name="Kind"/>
    <tableColumn id="4" name="Annex A rows"/>
    <tableColumn id="5" name="Scenario (Given / When / Then)"/>
    <tableColumn id="6" name="Exchanges (request → status)"/>
    <tableColumn id="7" name="Exchange count"/>
    <tableColumn id="8" name="Open spec gap"/>
  </tableColumns>
  <tableStyleInfo name="TableStyleLight9" showRowStripes="1"/>
</table>
</file>

<file path=xl/tables/table10.xml><?xml version="1.0" encoding="utf-8"?>
<table xmlns="http://schemas.openxmlformats.org/spreadsheetml/2006/main" id="10" name="T_apx_reservations" displayName="T_apx_reservations" ref="A1:H25" headerRowCount="1">
  <autoFilter ref="A1:H25"/>
  <tableColumns count="8">
    <tableColumn id="1" name="ID"/>
    <tableColumn id="2" name="Title"/>
    <tableColumn id="3" name="Kind"/>
    <tableColumn id="4" name="Annex A rows"/>
    <tableColumn id="5" name="Scenario (Given / When / Then)"/>
    <tableColumn id="6" name="Exchanges (request → status)"/>
    <tableColumn id="7" name="Exchange count"/>
    <tableColumn id="8" name="Open spec gap"/>
  </tableColumns>
  <tableStyleInfo name="TableStyleLight9" showRowStripes="1"/>
</table>
</file>

<file path=xl/tables/table11.xml><?xml version="1.0" encoding="utf-8"?>
<table xmlns="http://schemas.openxmlformats.org/spreadsheetml/2006/main" id="11" name="T_apx_resolution" displayName="T_apx_resolution" ref="A1:H29" headerRowCount="1">
  <autoFilter ref="A1:H29"/>
  <tableColumns count="8">
    <tableColumn id="1" name="ID"/>
    <tableColumn id="2" name="Title"/>
    <tableColumn id="3" name="Kind"/>
    <tableColumn id="4" name="Annex A rows"/>
    <tableColumn id="5" name="Scenario (Given / When / Then)"/>
    <tableColumn id="6" name="Exchanges (request → status)"/>
    <tableColumn id="7" name="Exchange count"/>
    <tableColumn id="8" name="Open spec gap"/>
  </tableColumns>
  <tableStyleInfo name="TableStyleLight9" showRowStripes="1"/>
</table>
</file>

<file path=xl/tables/table12.xml><?xml version="1.0" encoding="utf-8"?>
<table xmlns="http://schemas.openxmlformats.org/spreadsheetml/2006/main" id="12" name="T_apx_tolling" displayName="T_apx_tolling" ref="A1:H25" headerRowCount="1">
  <autoFilter ref="A1:H25"/>
  <tableColumns count="8">
    <tableColumn id="1" name="ID"/>
    <tableColumn id="2" name="Title"/>
    <tableColumn id="3" name="Kind"/>
    <tableColumn id="4" name="Annex A rows"/>
    <tableColumn id="5" name="Scenario (Given / When / Then)"/>
    <tableColumn id="6" name="Exchanges (request → status)"/>
    <tableColumn id="7" name="Exchange count"/>
    <tableColumn id="8" name="Open spec gap"/>
  </tableColumns>
  <tableStyleInfo name="TableStyleLight9" showRowStripes="1"/>
</table>
</file>

<file path=xl/tables/table13.xml><?xml version="1.0" encoding="utf-8"?>
<table xmlns="http://schemas.openxmlformats.org/spreadsheetml/2006/main" id="13" name="T_apx_valet" displayName="T_apx_valet" ref="A1:H26" headerRowCount="1">
  <autoFilter ref="A1:H26"/>
  <tableColumns count="8">
    <tableColumn id="1" name="ID"/>
    <tableColumn id="2" name="Title"/>
    <tableColumn id="3" name="Kind"/>
    <tableColumn id="4" name="Annex A rows"/>
    <tableColumn id="5" name="Scenario (Given / When / Then)"/>
    <tableColumn id="6" name="Exchanges (request → status)"/>
    <tableColumn id="7" name="Exchange count"/>
    <tableColumn id="8" name="Open spec gap"/>
  </tableColumns>
  <tableStyleInfo name="TableStyleLight9" showRowStripes="1"/>
</table>
</file>

<file path=xl/tables/table14.xml><?xml version="1.0" encoding="utf-8"?>
<table xmlns="http://schemas.openxmlformats.org/spreadsheetml/2006/main" id="14" name="T_apx_validations" displayName="T_apx_validations" ref="A1:H26" headerRowCount="1">
  <autoFilter ref="A1:H26"/>
  <tableColumns count="8">
    <tableColumn id="1" name="ID"/>
    <tableColumn id="2" name="Title"/>
    <tableColumn id="3" name="Kind"/>
    <tableColumn id="4" name="Annex A rows"/>
    <tableColumn id="5" name="Scenario (Given / When / Then)"/>
    <tableColumn id="6" name="Exchanges (request → status)"/>
    <tableColumn id="7" name="Exchange count"/>
    <tableColumn id="8" name="Open spec gap"/>
  </tableColumns>
  <tableStyleInfo name="TableStyleLight9" showRowStripes="1"/>
</table>
</file>

<file path=xl/tables/table15.xml><?xml version="1.0" encoding="utf-8"?>
<table xmlns="http://schemas.openxmlformats.org/spreadsheetml/2006/main" id="15" name="T_apx_violations" displayName="T_apx_violations" ref="A1:H30" headerRowCount="1">
  <autoFilter ref="A1:H30"/>
  <tableColumns count="8">
    <tableColumn id="1" name="ID"/>
    <tableColumn id="2" name="Title"/>
    <tableColumn id="3" name="Kind"/>
    <tableColumn id="4" name="Annex A rows"/>
    <tableColumn id="5" name="Scenario (Given / When / Then)"/>
    <tableColumn id="6" name="Exchanges (request → status)"/>
    <tableColumn id="7" name="Exchange count"/>
    <tableColumn id="8" name="Open spec gap"/>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px-accounts'!A1" TargetMode="External" Id="rId1"/><Relationship Type="http://schemas.openxmlformats.org/officeDocument/2006/relationships/hyperlink" Target="#'apx-alerts'!A1" TargetMode="External" Id="rId2"/><Relationship Type="http://schemas.openxmlformats.org/officeDocument/2006/relationships/hyperlink" Target="#'apx-control'!A1" TargetMode="External" Id="rId3"/><Relationship Type="http://schemas.openxmlformats.org/officeDocument/2006/relationships/hyperlink" Target="#'apx-credentials'!A1" TargetMode="External" Id="rId4"/><Relationship Type="http://schemas.openxmlformats.org/officeDocument/2006/relationships/hyperlink" Target="#'apx-data'!A1" TargetMode="External" Id="rId5"/><Relationship Type="http://schemas.openxmlformats.org/officeDocument/2006/relationships/hyperlink" Target="#'apx-discovery'!A1" TargetMode="External" Id="rId6"/><Relationship Type="http://schemas.openxmlformats.org/officeDocument/2006/relationships/hyperlink" Target="#'apx-events'!A1" TargetMode="External" Id="rId7"/><Relationship Type="http://schemas.openxmlformats.org/officeDocument/2006/relationships/hyperlink" Target="#'apx-lpr'!A1" TargetMode="External" Id="rId8"/><Relationship Type="http://schemas.openxmlformats.org/officeDocument/2006/relationships/hyperlink" Target="#'apx-permits'!A1" TargetMode="External" Id="rId9"/><Relationship Type="http://schemas.openxmlformats.org/officeDocument/2006/relationships/hyperlink" Target="#'apx-reservations'!A1" TargetMode="External" Id="rId10"/><Relationship Type="http://schemas.openxmlformats.org/officeDocument/2006/relationships/hyperlink" Target="#'apx-resolution'!A1" TargetMode="External" Id="rId11"/><Relationship Type="http://schemas.openxmlformats.org/officeDocument/2006/relationships/hyperlink" Target="#'apx-tolling'!A1" TargetMode="External" Id="rId12"/><Relationship Type="http://schemas.openxmlformats.org/officeDocument/2006/relationships/hyperlink" Target="#'apx-valet'!A1" TargetMode="External" Id="rId13"/><Relationship Type="http://schemas.openxmlformats.org/officeDocument/2006/relationships/hyperlink" Target="#'apx-validations'!A1" TargetMode="External" Id="rId14"/><Relationship Type="http://schemas.openxmlformats.org/officeDocument/2006/relationships/hyperlink" Target="#'apx-violations'!A1" TargetMode="External" Id="rId15"/></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sheet1.xml><?xml version="1.0" encoding="utf-8"?>
<worksheet xmlns="http://schemas.openxmlformats.org/spreadsheetml/2006/main">
  <sheetPr>
    <outlinePr summaryBelow="1" summaryRight="1"/>
    <pageSetUpPr/>
  </sheetPr>
  <dimension ref="A1:J22"/>
  <sheetViews>
    <sheetView workbookViewId="0">
      <pane ySplit="4" topLeftCell="A5" activePane="bottomLeft" state="frozen"/>
      <selection pane="bottomLeft" activeCell="A1" sqref="A1"/>
    </sheetView>
  </sheetViews>
  <sheetFormatPr baseColWidth="8" defaultRowHeight="15"/>
  <cols>
    <col width="22" customWidth="1" min="1" max="1"/>
    <col width="46" customWidth="1" min="2" max="2"/>
    <col width="11" customWidth="1" min="3" max="3"/>
    <col width="9" customWidth="1" min="4" max="4"/>
    <col width="9" customWidth="1" min="5" max="5"/>
    <col width="10" customWidth="1" min="6" max="6"/>
    <col width="10" customWidth="1" min="7" max="7"/>
    <col width="9" customWidth="1" min="8" max="8"/>
    <col width="11" customWidth="1" min="9" max="9"/>
    <col width="13" customWidth="1" min="10" max="10"/>
  </cols>
  <sheetData>
    <row r="1">
      <c r="A1" s="1" t="inlineStr">
        <is>
          <t>APX vetting scenarios by module</t>
        </is>
      </c>
    </row>
    <row r="2">
      <c r="A2" s="2" t="inlineStr">
        <is>
          <t>Private. Built from test-scenarios/apx-*.md against APX v0.11.0 (LPR re-vetted against v0.12.1 on 2026-09-28). Each module has its own tab; counts below are formulas over those tabs.</t>
        </is>
      </c>
    </row>
    <row r="3"/>
    <row r="4">
      <c r="A4" s="3" t="inlineStr">
        <is>
          <t>Module</t>
        </is>
      </c>
      <c r="B4" s="3" t="inlineStr">
        <is>
          <t>OpenAPI tags</t>
        </is>
      </c>
      <c r="C4" s="3" t="inlineStr">
        <is>
          <t>Scenarios</t>
        </is>
      </c>
      <c r="D4" s="3" t="inlineStr">
        <is>
          <t>Happy</t>
        </is>
      </c>
      <c r="E4" s="3" t="inlineStr">
        <is>
          <t>Refusal</t>
        </is>
      </c>
      <c r="F4" s="3" t="inlineStr">
        <is>
          <t>Lifecycle</t>
        </is>
      </c>
      <c r="G4" s="3" t="inlineStr">
        <is>
          <t>Security</t>
        </is>
      </c>
      <c r="H4" s="3" t="inlineStr">
        <is>
          <t>Edge</t>
        </is>
      </c>
      <c r="I4" s="3" t="inlineStr">
        <is>
          <t>Exchanges</t>
        </is>
      </c>
      <c r="J4" s="3" t="inlineStr">
        <is>
          <t>With open gap</t>
        </is>
      </c>
    </row>
    <row r="5">
      <c r="A5" s="4" t="inlineStr">
        <is>
          <t>apx-accounts</t>
        </is>
      </c>
      <c r="B5" s="5" t="inlineStr">
        <is>
          <t>Accounts</t>
        </is>
      </c>
      <c r="C5" s="5">
        <f>COUNTA('apx-accounts'!A:A)-1</f>
        <v/>
      </c>
      <c r="D5" s="5">
        <f>COUNTIF('apx-accounts'!C:C,"happy")</f>
        <v/>
      </c>
      <c r="E5" s="5">
        <f>COUNTIF('apx-accounts'!C:C,"refusal")</f>
        <v/>
      </c>
      <c r="F5" s="5">
        <f>COUNTIF('apx-accounts'!C:C,"lifecycle")</f>
        <v/>
      </c>
      <c r="G5" s="5">
        <f>COUNTIF('apx-accounts'!C:C,"security")</f>
        <v/>
      </c>
      <c r="H5" s="5">
        <f>COUNTIF('apx-accounts'!C:C,"edge")</f>
        <v/>
      </c>
      <c r="I5" s="5">
        <f>SUM('apx-accounts'!G:G)</f>
        <v/>
      </c>
      <c r="J5" s="5">
        <f>COUNTIF('apx-accounts'!H:H,"?*")</f>
        <v/>
      </c>
    </row>
    <row r="6">
      <c r="A6" s="4" t="inlineStr">
        <is>
          <t>apx-alerts</t>
        </is>
      </c>
      <c r="B6" s="5" t="inlineStr">
        <is>
          <t>Alerts</t>
        </is>
      </c>
      <c r="C6" s="5">
        <f>COUNTA('apx-alerts'!A:A)-1</f>
        <v/>
      </c>
      <c r="D6" s="5">
        <f>COUNTIF('apx-alerts'!C:C,"happy")</f>
        <v/>
      </c>
      <c r="E6" s="5">
        <f>COUNTIF('apx-alerts'!C:C,"refusal")</f>
        <v/>
      </c>
      <c r="F6" s="5">
        <f>COUNTIF('apx-alerts'!C:C,"lifecycle")</f>
        <v/>
      </c>
      <c r="G6" s="5">
        <f>COUNTIF('apx-alerts'!C:C,"security")</f>
        <v/>
      </c>
      <c r="H6" s="5">
        <f>COUNTIF('apx-alerts'!C:C,"edge")</f>
        <v/>
      </c>
      <c r="I6" s="5">
        <f>SUM('apx-alerts'!G:G)</f>
        <v/>
      </c>
      <c r="J6" s="5">
        <f>COUNTIF('apx-alerts'!H:H,"?*")</f>
        <v/>
      </c>
    </row>
    <row r="7">
      <c r="A7" s="4" t="inlineStr">
        <is>
          <t>apx-control</t>
        </is>
      </c>
      <c r="B7" s="5" t="inlineStr">
        <is>
          <t>Control</t>
        </is>
      </c>
      <c r="C7" s="5">
        <f>COUNTA('apx-control'!A:A)-1</f>
        <v/>
      </c>
      <c r="D7" s="5">
        <f>COUNTIF('apx-control'!C:C,"happy")</f>
        <v/>
      </c>
      <c r="E7" s="5">
        <f>COUNTIF('apx-control'!C:C,"refusal")</f>
        <v/>
      </c>
      <c r="F7" s="5">
        <f>COUNTIF('apx-control'!C:C,"lifecycle")</f>
        <v/>
      </c>
      <c r="G7" s="5">
        <f>COUNTIF('apx-control'!C:C,"security")</f>
        <v/>
      </c>
      <c r="H7" s="5">
        <f>COUNTIF('apx-control'!C:C,"edge")</f>
        <v/>
      </c>
      <c r="I7" s="5">
        <f>SUM('apx-control'!G:G)</f>
        <v/>
      </c>
      <c r="J7" s="5">
        <f>COUNTIF('apx-control'!H:H,"?*")</f>
        <v/>
      </c>
    </row>
    <row r="8">
      <c r="A8" s="4" t="inlineStr">
        <is>
          <t>apx-credentials</t>
        </is>
      </c>
      <c r="B8" s="5" t="inlineStr">
        <is>
          <t>Credentials</t>
        </is>
      </c>
      <c r="C8" s="5">
        <f>COUNTA('apx-credentials'!A:A)-1</f>
        <v/>
      </c>
      <c r="D8" s="5">
        <f>COUNTIF('apx-credentials'!C:C,"happy")</f>
        <v/>
      </c>
      <c r="E8" s="5">
        <f>COUNTIF('apx-credentials'!C:C,"refusal")</f>
        <v/>
      </c>
      <c r="F8" s="5">
        <f>COUNTIF('apx-credentials'!C:C,"lifecycle")</f>
        <v/>
      </c>
      <c r="G8" s="5">
        <f>COUNTIF('apx-credentials'!C:C,"security")</f>
        <v/>
      </c>
      <c r="H8" s="5">
        <f>COUNTIF('apx-credentials'!C:C,"edge")</f>
        <v/>
      </c>
      <c r="I8" s="5">
        <f>SUM('apx-credentials'!G:G)</f>
        <v/>
      </c>
      <c r="J8" s="5">
        <f>COUNTIF('apx-credentials'!H:H,"?*")</f>
        <v/>
      </c>
    </row>
    <row r="9">
      <c r="A9" s="4" t="inlineStr">
        <is>
          <t>apx-data</t>
        </is>
      </c>
      <c r="B9" s="5" t="inlineStr">
        <is>
          <t>Data, Places, Sessions, Rate Tables, Assigned Rights, Right Specifications, Observation, Organisations, Quote</t>
        </is>
      </c>
      <c r="C9" s="5">
        <f>COUNTA('apx-data'!A:A)-1</f>
        <v/>
      </c>
      <c r="D9" s="5">
        <f>COUNTIF('apx-data'!C:C,"happy")</f>
        <v/>
      </c>
      <c r="E9" s="5">
        <f>COUNTIF('apx-data'!C:C,"refusal")</f>
        <v/>
      </c>
      <c r="F9" s="5">
        <f>COUNTIF('apx-data'!C:C,"lifecycle")</f>
        <v/>
      </c>
      <c r="G9" s="5">
        <f>COUNTIF('apx-data'!C:C,"security")</f>
        <v/>
      </c>
      <c r="H9" s="5">
        <f>COUNTIF('apx-data'!C:C,"edge")</f>
        <v/>
      </c>
      <c r="I9" s="5">
        <f>SUM('apx-data'!G:G)</f>
        <v/>
      </c>
      <c r="J9" s="5">
        <f>COUNTIF('apx-data'!H:H,"?*")</f>
        <v/>
      </c>
    </row>
    <row r="10">
      <c r="A10" s="4" t="inlineStr">
        <is>
          <t>apx-discovery</t>
        </is>
      </c>
      <c r="B10" s="5" t="inlineStr">
        <is>
          <t>Discovery</t>
        </is>
      </c>
      <c r="C10" s="5">
        <f>COUNTA('apx-discovery'!A:A)-1</f>
        <v/>
      </c>
      <c r="D10" s="5">
        <f>COUNTIF('apx-discovery'!C:C,"happy")</f>
        <v/>
      </c>
      <c r="E10" s="5">
        <f>COUNTIF('apx-discovery'!C:C,"refusal")</f>
        <v/>
      </c>
      <c r="F10" s="5">
        <f>COUNTIF('apx-discovery'!C:C,"lifecycle")</f>
        <v/>
      </c>
      <c r="G10" s="5">
        <f>COUNTIF('apx-discovery'!C:C,"security")</f>
        <v/>
      </c>
      <c r="H10" s="5">
        <f>COUNTIF('apx-discovery'!C:C,"edge")</f>
        <v/>
      </c>
      <c r="I10" s="5">
        <f>SUM('apx-discovery'!G:G)</f>
        <v/>
      </c>
      <c r="J10" s="5">
        <f>COUNTIF('apx-discovery'!H:H,"?*")</f>
        <v/>
      </c>
    </row>
    <row r="11">
      <c r="A11" s="4" t="inlineStr">
        <is>
          <t>apx-events</t>
        </is>
      </c>
      <c r="B11" s="5" t="inlineStr">
        <is>
          <t>Subscription</t>
        </is>
      </c>
      <c r="C11" s="5">
        <f>COUNTA('apx-events'!A:A)-1</f>
        <v/>
      </c>
      <c r="D11" s="5">
        <f>COUNTIF('apx-events'!C:C,"happy")</f>
        <v/>
      </c>
      <c r="E11" s="5">
        <f>COUNTIF('apx-events'!C:C,"refusal")</f>
        <v/>
      </c>
      <c r="F11" s="5">
        <f>COUNTIF('apx-events'!C:C,"lifecycle")</f>
        <v/>
      </c>
      <c r="G11" s="5">
        <f>COUNTIF('apx-events'!C:C,"security")</f>
        <v/>
      </c>
      <c r="H11" s="5">
        <f>COUNTIF('apx-events'!C:C,"edge")</f>
        <v/>
      </c>
      <c r="I11" s="5">
        <f>SUM('apx-events'!G:G)</f>
        <v/>
      </c>
      <c r="J11" s="5">
        <f>COUNTIF('apx-events'!H:H,"?*")</f>
        <v/>
      </c>
    </row>
    <row r="12">
      <c r="A12" s="4" t="inlineStr">
        <is>
          <t>apx-lpr</t>
        </is>
      </c>
      <c r="B12" s="5" t="inlineStr">
        <is>
          <t>LPR</t>
        </is>
      </c>
      <c r="C12" s="5">
        <f>COUNTA('apx-lpr'!A:A)-1</f>
        <v/>
      </c>
      <c r="D12" s="5">
        <f>COUNTIF('apx-lpr'!C:C,"happy")</f>
        <v/>
      </c>
      <c r="E12" s="5">
        <f>COUNTIF('apx-lpr'!C:C,"refusal")</f>
        <v/>
      </c>
      <c r="F12" s="5">
        <f>COUNTIF('apx-lpr'!C:C,"lifecycle")</f>
        <v/>
      </c>
      <c r="G12" s="5">
        <f>COUNTIF('apx-lpr'!C:C,"security")</f>
        <v/>
      </c>
      <c r="H12" s="5">
        <f>COUNTIF('apx-lpr'!C:C,"edge")</f>
        <v/>
      </c>
      <c r="I12" s="5">
        <f>SUM('apx-lpr'!G:G)</f>
        <v/>
      </c>
      <c r="J12" s="5">
        <f>COUNTIF('apx-lpr'!H:H,"?*")</f>
        <v/>
      </c>
    </row>
    <row r="13">
      <c r="A13" s="4" t="inlineStr">
        <is>
          <t>apx-permits</t>
        </is>
      </c>
      <c r="B13" s="5" t="inlineStr">
        <is>
          <t>Permits</t>
        </is>
      </c>
      <c r="C13" s="5">
        <f>COUNTA('apx-permits'!A:A)-1</f>
        <v/>
      </c>
      <c r="D13" s="5">
        <f>COUNTIF('apx-permits'!C:C,"happy")</f>
        <v/>
      </c>
      <c r="E13" s="5">
        <f>COUNTIF('apx-permits'!C:C,"refusal")</f>
        <v/>
      </c>
      <c r="F13" s="5">
        <f>COUNTIF('apx-permits'!C:C,"lifecycle")</f>
        <v/>
      </c>
      <c r="G13" s="5">
        <f>COUNTIF('apx-permits'!C:C,"security")</f>
        <v/>
      </c>
      <c r="H13" s="5">
        <f>COUNTIF('apx-permits'!C:C,"edge")</f>
        <v/>
      </c>
      <c r="I13" s="5">
        <f>SUM('apx-permits'!G:G)</f>
        <v/>
      </c>
      <c r="J13" s="5">
        <f>COUNTIF('apx-permits'!H:H,"?*")</f>
        <v/>
      </c>
    </row>
    <row r="14">
      <c r="A14" s="4" t="inlineStr">
        <is>
          <t>apx-reservations</t>
        </is>
      </c>
      <c r="B14" s="5" t="inlineStr">
        <is>
          <t>Reservations</t>
        </is>
      </c>
      <c r="C14" s="5">
        <f>COUNTA('apx-reservations'!A:A)-1</f>
        <v/>
      </c>
      <c r="D14" s="5">
        <f>COUNTIF('apx-reservations'!C:C,"happy")</f>
        <v/>
      </c>
      <c r="E14" s="5">
        <f>COUNTIF('apx-reservations'!C:C,"refusal")</f>
        <v/>
      </c>
      <c r="F14" s="5">
        <f>COUNTIF('apx-reservations'!C:C,"lifecycle")</f>
        <v/>
      </c>
      <c r="G14" s="5">
        <f>COUNTIF('apx-reservations'!C:C,"security")</f>
        <v/>
      </c>
      <c r="H14" s="5">
        <f>COUNTIF('apx-reservations'!C:C,"edge")</f>
        <v/>
      </c>
      <c r="I14" s="5">
        <f>SUM('apx-reservations'!G:G)</f>
        <v/>
      </c>
      <c r="J14" s="5">
        <f>COUNTIF('apx-reservations'!H:H,"?*")</f>
        <v/>
      </c>
    </row>
    <row r="15">
      <c r="A15" s="4" t="inlineStr">
        <is>
          <t>apx-resolution</t>
        </is>
      </c>
      <c r="B15" s="5" t="inlineStr">
        <is>
          <t>Resolution, Support</t>
        </is>
      </c>
      <c r="C15" s="5">
        <f>COUNTA('apx-resolution'!A:A)-1</f>
        <v/>
      </c>
      <c r="D15" s="5">
        <f>COUNTIF('apx-resolution'!C:C,"happy")</f>
        <v/>
      </c>
      <c r="E15" s="5">
        <f>COUNTIF('apx-resolution'!C:C,"refusal")</f>
        <v/>
      </c>
      <c r="F15" s="5">
        <f>COUNTIF('apx-resolution'!C:C,"lifecycle")</f>
        <v/>
      </c>
      <c r="G15" s="5">
        <f>COUNTIF('apx-resolution'!C:C,"security")</f>
        <v/>
      </c>
      <c r="H15" s="5">
        <f>COUNTIF('apx-resolution'!C:C,"edge")</f>
        <v/>
      </c>
      <c r="I15" s="5">
        <f>SUM('apx-resolution'!G:G)</f>
        <v/>
      </c>
      <c r="J15" s="5">
        <f>COUNTIF('apx-resolution'!H:H,"?*")</f>
        <v/>
      </c>
    </row>
    <row r="16">
      <c r="A16" s="4" t="inlineStr">
        <is>
          <t>apx-tolling</t>
        </is>
      </c>
      <c r="B16" s="5" t="inlineStr">
        <is>
          <t>Tolling</t>
        </is>
      </c>
      <c r="C16" s="5">
        <f>COUNTA('apx-tolling'!A:A)-1</f>
        <v/>
      </c>
      <c r="D16" s="5">
        <f>COUNTIF('apx-tolling'!C:C,"happy")</f>
        <v/>
      </c>
      <c r="E16" s="5">
        <f>COUNTIF('apx-tolling'!C:C,"refusal")</f>
        <v/>
      </c>
      <c r="F16" s="5">
        <f>COUNTIF('apx-tolling'!C:C,"lifecycle")</f>
        <v/>
      </c>
      <c r="G16" s="5">
        <f>COUNTIF('apx-tolling'!C:C,"security")</f>
        <v/>
      </c>
      <c r="H16" s="5">
        <f>COUNTIF('apx-tolling'!C:C,"edge")</f>
        <v/>
      </c>
      <c r="I16" s="5">
        <f>SUM('apx-tolling'!G:G)</f>
        <v/>
      </c>
      <c r="J16" s="5">
        <f>COUNTIF('apx-tolling'!H:H,"?*")</f>
        <v/>
      </c>
    </row>
    <row r="17">
      <c r="A17" s="4" t="inlineStr">
        <is>
          <t>apx-valet</t>
        </is>
      </c>
      <c r="B17" s="5" t="inlineStr">
        <is>
          <t>Valet</t>
        </is>
      </c>
      <c r="C17" s="5">
        <f>COUNTA('apx-valet'!A:A)-1</f>
        <v/>
      </c>
      <c r="D17" s="5">
        <f>COUNTIF('apx-valet'!C:C,"happy")</f>
        <v/>
      </c>
      <c r="E17" s="5">
        <f>COUNTIF('apx-valet'!C:C,"refusal")</f>
        <v/>
      </c>
      <c r="F17" s="5">
        <f>COUNTIF('apx-valet'!C:C,"lifecycle")</f>
        <v/>
      </c>
      <c r="G17" s="5">
        <f>COUNTIF('apx-valet'!C:C,"security")</f>
        <v/>
      </c>
      <c r="H17" s="5">
        <f>COUNTIF('apx-valet'!C:C,"edge")</f>
        <v/>
      </c>
      <c r="I17" s="5">
        <f>SUM('apx-valet'!G:G)</f>
        <v/>
      </c>
      <c r="J17" s="5">
        <f>COUNTIF('apx-valet'!H:H,"?*")</f>
        <v/>
      </c>
    </row>
    <row r="18">
      <c r="A18" s="4" t="inlineStr">
        <is>
          <t>apx-validations</t>
        </is>
      </c>
      <c r="B18" s="5" t="inlineStr">
        <is>
          <t>Validations</t>
        </is>
      </c>
      <c r="C18" s="5">
        <f>COUNTA('apx-validations'!A:A)-1</f>
        <v/>
      </c>
      <c r="D18" s="5">
        <f>COUNTIF('apx-validations'!C:C,"happy")</f>
        <v/>
      </c>
      <c r="E18" s="5">
        <f>COUNTIF('apx-validations'!C:C,"refusal")</f>
        <v/>
      </c>
      <c r="F18" s="5">
        <f>COUNTIF('apx-validations'!C:C,"lifecycle")</f>
        <v/>
      </c>
      <c r="G18" s="5">
        <f>COUNTIF('apx-validations'!C:C,"security")</f>
        <v/>
      </c>
      <c r="H18" s="5">
        <f>COUNTIF('apx-validations'!C:C,"edge")</f>
        <v/>
      </c>
      <c r="I18" s="5">
        <f>SUM('apx-validations'!G:G)</f>
        <v/>
      </c>
      <c r="J18" s="5">
        <f>COUNTIF('apx-validations'!H:H,"?*")</f>
        <v/>
      </c>
    </row>
    <row r="19">
      <c r="A19" s="4" t="inlineStr">
        <is>
          <t>apx-violations</t>
        </is>
      </c>
      <c r="B19" s="5" t="inlineStr">
        <is>
          <t>Violations</t>
        </is>
      </c>
      <c r="C19" s="5">
        <f>COUNTA('apx-violations'!A:A)-1</f>
        <v/>
      </c>
      <c r="D19" s="5">
        <f>COUNTIF('apx-violations'!C:C,"happy")</f>
        <v/>
      </c>
      <c r="E19" s="5">
        <f>COUNTIF('apx-violations'!C:C,"refusal")</f>
        <v/>
      </c>
      <c r="F19" s="5">
        <f>COUNTIF('apx-violations'!C:C,"lifecycle")</f>
        <v/>
      </c>
      <c r="G19" s="5">
        <f>COUNTIF('apx-violations'!C:C,"security")</f>
        <v/>
      </c>
      <c r="H19" s="5">
        <f>COUNTIF('apx-violations'!C:C,"edge")</f>
        <v/>
      </c>
      <c r="I19" s="5">
        <f>SUM('apx-violations'!G:G)</f>
        <v/>
      </c>
      <c r="J19" s="5">
        <f>COUNTIF('apx-violations'!H:H,"?*")</f>
        <v/>
      </c>
    </row>
    <row r="20">
      <c r="A20" s="6" t="inlineStr">
        <is>
          <t>Total</t>
        </is>
      </c>
      <c r="B20" s="6" t="n"/>
      <c r="C20" s="6">
        <f>SUM(C5:C19)</f>
        <v/>
      </c>
      <c r="D20" s="6">
        <f>SUM(D5:D19)</f>
        <v/>
      </c>
      <c r="E20" s="6">
        <f>SUM(E5:E19)</f>
        <v/>
      </c>
      <c r="F20" s="6">
        <f>SUM(F5:F19)</f>
        <v/>
      </c>
      <c r="G20" s="6">
        <f>SUM(G5:G19)</f>
        <v/>
      </c>
      <c r="H20" s="6">
        <f>SUM(H5:H19)</f>
        <v/>
      </c>
      <c r="I20" s="6">
        <f>SUM(I5:I19)</f>
        <v/>
      </c>
      <c r="J20" s="6">
        <f>SUM(J5:J19)</f>
        <v/>
      </c>
    </row>
    <row r="21"/>
    <row r="22" ht="48" customHeight="1">
      <c r="A22" s="7" t="inlineStr">
        <is>
          <t>Kinds: happy = the intended path; refusal = the server correctly says no; lifecycle = a state machine walked through its transitions; security = scopes, grants, tokens; edge = retries, limits, and unusual inputs. 'With open gap' counts scenarios still citing an unfixed spec finding (F-RSV-02, an upstream APDS defect with no additive workaround).</t>
        </is>
      </c>
    </row>
  </sheetData>
  <mergeCells count="1">
    <mergeCell ref="A22:J22"/>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4" customWidth="1" min="2" max="2"/>
    <col width="11" customWidth="1" min="3" max="3"/>
    <col width="26" customWidth="1" min="4" max="4"/>
    <col width="90" customWidth="1" min="5" max="5"/>
    <col width="52" customWidth="1" min="6" max="6"/>
    <col width="10" customWidth="1" min="7" max="7"/>
    <col width="14" customWidth="1" min="8" max="8"/>
  </cols>
  <sheetData>
    <row r="1">
      <c r="A1" s="3" t="inlineStr">
        <is>
          <t>ID</t>
        </is>
      </c>
      <c r="B1" s="3" t="inlineStr">
        <is>
          <t>Title</t>
        </is>
      </c>
      <c r="C1" s="3" t="inlineStr">
        <is>
          <t>Kind</t>
        </is>
      </c>
      <c r="D1" s="3" t="inlineStr">
        <is>
          <t>Annex A rows</t>
        </is>
      </c>
      <c r="E1" s="3" t="inlineStr">
        <is>
          <t>Scenario (Given / When / Then)</t>
        </is>
      </c>
      <c r="F1" s="3" t="inlineStr">
        <is>
          <t>Exchanges (request → status)</t>
        </is>
      </c>
      <c r="G1" s="3" t="inlineStr">
        <is>
          <t>Exchange count</t>
        </is>
      </c>
      <c r="H1" s="3" t="inlineStr">
        <is>
          <t>Open spec gap</t>
        </is>
      </c>
    </row>
    <row r="2">
      <c r="A2" s="5" t="inlineStr">
        <is>
          <t>ACC-01</t>
        </is>
      </c>
      <c r="B2" s="5" t="inlineStr">
        <is>
          <t>A monthly parker calls in: lookup by phone</t>
        </is>
      </c>
      <c r="C2" s="5" t="inlineStr">
        <is>
          <t>happy</t>
        </is>
      </c>
      <c r="D2" s="5" t="inlineStr">
        <is>
          <t>APX-ACC-01</t>
        </is>
      </c>
      <c r="E2" s="5" t="inlineStr">
        <is>
          <t>Given J. Smith calls the operator's number from the phone on file. When the console looks the caller up by phone before the agent answers. Then 200 with one account, its balance and status, and the place it is valid at, so the greeting can be "Hi J., I see $185 owing at Lakeside".</t>
        </is>
      </c>
      <c r="F2" s="5" t="inlineStr">
        <is>
          <t>GET /v1/accounts → 200</t>
        </is>
      </c>
      <c r="G2" s="5">
        <f>IF(F2="",0,LEN(F2)-LEN(SUBSTITUTE(F2,CHAR(10),""))+1)</f>
        <v/>
      </c>
      <c r="H2" s="5" t="inlineStr"/>
    </row>
    <row r="3">
      <c r="A3" s="5" t="inlineStr">
        <is>
          <t>ACC-02</t>
        </is>
      </c>
      <c r="B3" s="5" t="inlineStr">
        <is>
          <t>Every other key: plate, card, name, a combination, by id, and the ones that are not there</t>
        </is>
      </c>
      <c r="C3" s="5" t="inlineStr">
        <is>
          <t>happy</t>
        </is>
      </c>
      <c r="D3" s="5" t="inlineStr">
        <is>
          <t>APX-ACC-01</t>
        </is>
      </c>
      <c r="E3" s="5" t="inlineStr">
        <is>
          <t>Given callers who know only their plate, only their access card, or only their name. When the console tries each filter, then narrows a common surname with a plate, then fetches by id. Then each lookup returns the matching accounts, an unknown plate returns an empty list, and an unknown id is 404. The email key and the §13.5(3) place narrowing are declared (F-ACC-09, F-ACC-08 fixed), and Account.email comes back under apx.accounts:read.</t>
        </is>
      </c>
      <c r="F3" s="5" t="inlineStr">
        <is>
          <t>GET /v1/accounts → 200
GET /v1/accounts → 200
GET /v1/accounts → 200
GET /v1/accounts → 200
GET /v1/accounts/c2000000-0000-4000-8000-000000000004 → 200
GET /v1/accounts/c2000000-0000-4000-8000-0000000000ff → 404
GET /v1/accounts → 200
GET /v1/accounts → 200
GET /v1/accounts → 200</t>
        </is>
      </c>
      <c r="G3" s="5">
        <f>IF(F3="",0,LEN(F3)-LEN(SUBSTITUTE(F3,CHAR(10),""))+1)</f>
        <v/>
      </c>
      <c r="H3" s="5" t="inlineStr"/>
    </row>
    <row r="4">
      <c r="A4" s="5" t="inlineStr">
        <is>
          <t>ACC-03</t>
        </is>
      </c>
      <c r="B4" s="5" t="inlineStr">
        <is>
          <t>The grant, not the scope, bounds a place-less lookup</t>
        </is>
      </c>
      <c r="C4" s="5" t="inlineStr">
        <is>
          <t>security</t>
        </is>
      </c>
      <c r="D4" s="5" t="inlineStr">
        <is>
          <t>APX-ACC-01, APX-CORE-07, APX-CORE-08</t>
        </is>
      </c>
      <c r="E4" s="5" t="inlineStr">
        <is>
          <t>Given J. Smith holds accounts at both Lakeside and Harbor Deck under the same plate. When a token granted only Lakeside searches the plate, an all-places token searches it, and a token with no apx_places claim searches it. Then the first sees only the Lakeside account, the second sees both, and the third sees nothing (fail-closed; whether that is an empty 200 or a 403 is F-ACC-13). Fetching the Harbor account by id with the Lakeside token is 403 insufficient-grant, which the operation does not declare (F-ACC-02).</t>
        </is>
      </c>
      <c r="F4" s="5" t="inlineStr">
        <is>
          <t>GET /v1/accounts → 200
GET /v1/accounts → 200
GET /v1/accounts → 200
GET /v1/accounts/c2000000-0000-4000-8000-000000000006 → 403</t>
        </is>
      </c>
      <c r="G4" s="5">
        <f>IF(F4="",0,LEN(F4)-LEN(SUBSTITUTE(F4,CHAR(10),""))+1)</f>
        <v/>
      </c>
      <c r="H4" s="5" t="inlineStr"/>
    </row>
    <row r="5">
      <c r="A5" s="5" t="inlineStr">
        <is>
          <t>ACC-04</t>
        </is>
      </c>
      <c r="B5" s="5" t="inlineStr">
        <is>
          <t>The wrong scope on every route</t>
        </is>
      </c>
      <c r="C5" s="5" t="inlineStr">
        <is>
          <t>refusal</t>
        </is>
      </c>
      <c r="D5" s="5" t="inlineStr">
        <is>
          <t>APX-CORE-07</t>
        </is>
      </c>
      <c r="E5" s="5" t="inlineStr">
        <is>
          <t>Given a payments-only token (apx.payments:write) and a read-only token (apx.accounts:read). When the payments token reads accounts and payment history, and the read token takes a payment and voids one. Then each is 403 insufficient-scope; nothing is read or moved.</t>
        </is>
      </c>
      <c r="F5" s="5" t="inlineStr">
        <is>
          <t>GET /v1/accounts → 403
GET /v1/payments → 403
POST /v1/payments → 403
POST /v1/payments/e8000000-0000-4000-8000-000000000205/void → 403</t>
        </is>
      </c>
      <c r="G5" s="5">
        <f>IF(F5="",0,LEN(F5)-LEN(SUBSTITUTE(F5,CHAR(10),""))+1)</f>
        <v/>
      </c>
      <c r="H5" s="5" t="inlineStr"/>
    </row>
    <row r="6">
      <c r="A6" s="5" t="inlineStr">
        <is>
          <t>ACC-05</t>
        </is>
      </c>
      <c r="B6" s="5" t="inlineStr">
        <is>
          <t>Pay the balance over the IVR; the balance drops; the event lands</t>
        </is>
      </c>
      <c r="C6" s="5" t="inlineStr">
        <is>
          <t>happy</t>
        </is>
      </c>
      <c r="D6" s="5" t="inlineStr">
        <is>
          <t>APX-ACC-02, APX-ACC-03</t>
        </is>
      </c>
      <c r="E6" s="5" t="inlineStr">
        <is>
          <t>Given J. Smith agrees to pay the $185.00 and is transferred to the PCI-compliant IVR, which captures the card out of band. When the console records the payment with method: autoAttendant and an idempotency key. Then 201 with a PaymentRecord bound to Lakeside, carrying a transactionID and only the last four digits; the account re-read shows a zero balance and a bumped version; and apx.accounts.payment.recorded.v1 is published with the record as data.</t>
        </is>
      </c>
      <c r="F6" s="5" t="inlineStr">
        <is>
          <t>POST /v1/payments → 201
GET /v1/accounts/c2000000-0000-4000-8000-000000000004 → 200</t>
        </is>
      </c>
      <c r="G6" s="5">
        <f>IF(F6="",0,LEN(F6)-LEN(SUBSTITUTE(F6,CHAR(10),""))+1)</f>
        <v/>
      </c>
      <c r="H6" s="5" t="inlineStr"/>
    </row>
    <row r="7">
      <c r="A7" s="5" t="inlineStr">
        <is>
          <t>ACC-06</t>
        </is>
      </c>
      <c r="B7" s="5" t="inlineStr">
        <is>
          <t>The IVR bridge retries: same key, same body</t>
        </is>
      </c>
      <c r="C7" s="5" t="inlineStr">
        <is>
          <t>edge</t>
        </is>
      </c>
      <c r="D7" s="5" t="inlineStr">
        <is>
          <t>APX-ACC-02</t>
        </is>
      </c>
      <c r="E7" s="5" t="inlineStr">
        <is>
          <t>Given the 201 from ACC-05 was lost between the IVR bridge and the console. When the bridge retries with the identical key and body. Then 200 with the ORIGINAL record; J. Smith is not charged twice and the balance stays at zero.</t>
        </is>
      </c>
      <c r="F7" s="5" t="inlineStr">
        <is>
          <t>POST /v1/payments → 200</t>
        </is>
      </c>
      <c r="G7" s="5">
        <f>IF(F7="",0,LEN(F7)-LEN(SUBSTITUTE(F7,CHAR(10),""))+1)</f>
        <v/>
      </c>
      <c r="H7" s="5" t="inlineStr"/>
    </row>
    <row r="8">
      <c r="A8" s="5" t="inlineStr">
        <is>
          <t>ACC-07</t>
        </is>
      </c>
      <c r="B8" s="5" t="inlineStr">
        <is>
          <t>Same key with a different amount; no key; nothing to settle</t>
        </is>
      </c>
      <c r="C8" s="5" t="inlineStr">
        <is>
          <t>refusal</t>
        </is>
      </c>
      <c r="D8" s="5" t="inlineStr">
        <is>
          <t>APX-ACC-02, APX-CORE-05</t>
        </is>
      </c>
      <c r="E8" s="5" t="inlineStr">
        <is>
          <t>Given three broken clients. When one reuses cc-8101-pay for a different amount, one omits Idempotency-Key, and one sends a place and an amount with neither account nor ticketNumber. Then 409 idempotency-conflict, 400 idempotency-key-required, and a 400 the operation describes ("no account/ticket to settle") but Part 12 has no slug for (F-ACC-03).</t>
        </is>
      </c>
      <c r="F8" s="5" t="inlineStr">
        <is>
          <t>POST /v1/payments → 409
POST /v1/payments → 400
POST /v1/payments → 400</t>
        </is>
      </c>
      <c r="G8" s="5">
        <f>IF(F8="",0,LEN(F8)-LEN(SUBSTITUTE(F8,CHAR(10),""))+1)</f>
        <v/>
      </c>
      <c r="H8" s="5" t="inlineStr"/>
    </row>
    <row r="9">
      <c r="A9" s="5" t="inlineStr">
        <is>
          <t>ACC-08</t>
        </is>
      </c>
      <c r="B9" s="5" t="inlineStr">
        <is>
          <t>Declined at the exit lane, and the decline is a record too</t>
        </is>
      </c>
      <c r="C9" s="5" t="inlineStr">
        <is>
          <t>refusal</t>
        </is>
      </c>
      <c r="D9" s="5" t="inlineStr">
        <is>
          <t>APX-ACC-02, APX-ACC-03</t>
        </is>
      </c>
      <c r="E9" s="5" t="inlineStr">
        <is>
          <t>Given the transient parker on ticket T-61077 reads a card to the agent after the lane terminal declined it twice. When the agent takes $18.00 by card. Then 422 payment-declined; the declined attempt is nonetheless recorded (it is what the resolution context's payments[] overlay shows) and published on apx.accounts.payment.recorded.v1 with paymentStatus: declined. The problem body points at that record through the payment extension member §13.1 now names (F-ACC-11 fixed).</t>
        </is>
      </c>
      <c r="F9" s="5" t="inlineStr">
        <is>
          <t>POST /v1/payments → 422</t>
        </is>
      </c>
      <c r="G9" s="5">
        <f>IF(F9="",0,LEN(F9)-LEN(SUBSTITUTE(F9,CHAR(10),""))+1)</f>
        <v/>
      </c>
      <c r="H9" s="5" t="inlineStr"/>
    </row>
    <row r="10">
      <c r="A10" s="5" t="inlineStr">
        <is>
          <t>ACC-09</t>
        </is>
      </c>
      <c r="B10" s="5" t="inlineStr">
        <is>
          <t>A ticket payment with the accounting write-back</t>
        </is>
      </c>
      <c r="C10" s="5" t="inlineStr">
        <is>
          <t>happy</t>
        </is>
      </c>
      <c r="D10" s="5" t="inlineStr">
        <is>
          <t>APX-ACC-02, APX-ACC-03</t>
        </is>
      </c>
      <c r="E10" s="5" t="inlineStr">
        <is>
          <t>Given the lost-ticket parker from scenario 04 owes $4.50 more on T-1001. When the agent takes it by card and then posts the payment to PARIS. Then 201 with the PaymentRecord, 201 with the Posting (a ticket payment updates no account, so accountUpdated is false), and a posting against a payment id that never existed is 404.</t>
        </is>
      </c>
      <c r="F10" s="5" t="inlineStr">
        <is>
          <t>POST /v1/payments → 201
POST /v1/payments/e8000000-0000-4000-8000-000000000202/postings → 201
POST /v1/payments/e8000000-0000-4000-8000-0000000000ff/postings → 404
POST /v1/payments/e8000000-0000-4000-8000-000000000201/postings → 201</t>
        </is>
      </c>
      <c r="G10" s="5">
        <f>IF(F10="",0,LEN(F10)-LEN(SUBSTITUTE(F10,CHAR(10),""))+1)</f>
        <v/>
      </c>
      <c r="H10" s="5" t="inlineStr"/>
    </row>
    <row r="11">
      <c r="A11" s="5" t="inlineStr">
        <is>
          <t>ACC-10</t>
        </is>
      </c>
      <c r="B11" s="5" t="inlineStr">
        <is>
          <t>Posting a declined payment</t>
        </is>
      </c>
      <c r="C11" s="5" t="inlineStr">
        <is>
          <t>refusal</t>
        </is>
      </c>
      <c r="D11" s="5" t="inlineStr">
        <is>
          <t>APX-ACC-02, APX-ACC-05</t>
        </is>
      </c>
      <c r="E11" s="5" t="inlineStr">
        <is>
          <t>Given a reconciliation script that posts every PaymentRecord it sees. When it posts the declined attempt from ACC-08. Then 409 payment-state-illegal: nothing was collected, and only an approved payment can be posted (§13.1a; F-ACC-04 fixed).</t>
        </is>
      </c>
      <c r="F11" s="5" t="inlineStr">
        <is>
          <t>POST /v1/payments/e8000000-0000-4000-8000-000000000203/postings → 409</t>
        </is>
      </c>
      <c r="G11" s="5">
        <f>IF(F11="",0,LEN(F11)-LEN(SUBSTITUTE(F11,CHAR(10),""))+1)</f>
        <v/>
      </c>
      <c r="H11" s="5" t="inlineStr"/>
    </row>
    <row r="12">
      <c r="A12" s="5" t="inlineStr">
        <is>
          <t>ACC-11</t>
        </is>
      </c>
      <c r="B12" s="5" t="inlineStr">
        <is>
          <t>Declined at the exit: the payment link of first resort</t>
        </is>
      </c>
      <c r="C12" s="5" t="inlineStr">
        <is>
          <t>happy</t>
        </is>
      </c>
      <c r="D12" s="5" t="inlineStr">
        <is>
          <t>APX-ACC-04, APX-ACC-03</t>
        </is>
      </c>
      <c r="E12" s="5" t="inlineStr">
        <is>
          <t>Given the resolution context for T-61077 lists "send payment link" as the allowed action and vending the gate as not allowed. When the agent sends an SMS link with no amount (charge the current amount due). Then 201 with the link in sent; GET /v1/payment-links/{id} shows it opened; a replay of the same key returns the link in its current representation (Part 4 §4.2a); the driver pays with a different card and the payment arrives on apx.accounts.payment.recorded.v1 (F-ACC-06 fixed).</t>
        </is>
      </c>
      <c r="F12" s="5" t="inlineStr">
        <is>
          <t>POST /v1/payment-links → 201
GET /v1/payment-links/e6000000-0000-4000-8000-000000000052 → 200
POST /v1/payment-links → 200</t>
        </is>
      </c>
      <c r="G12" s="5">
        <f>IF(F12="",0,LEN(F12)-LEN(SUBSTITUTE(F12,CHAR(10),""))+1)</f>
        <v/>
      </c>
      <c r="H12" s="5" t="inlineStr"/>
    </row>
    <row r="13">
      <c r="A13" s="5" t="inlineStr">
        <is>
          <t>ACC-12</t>
        </is>
      </c>
      <c r="B13" s="5" t="inlineStr">
        <is>
          <t>Payment-link refusals</t>
        </is>
      </c>
      <c r="C13" s="5" t="inlineStr">
        <is>
          <t>refusal</t>
        </is>
      </c>
      <c r="D13" s="5" t="inlineStr">
        <is>
          <t>APX-ACC-04, APX-CORE-05</t>
        </is>
      </c>
      <c r="E13" s="5" t="inlineStr">
        <is>
          <t>Given three more broken clients. When one sends a link with no account, ticket, or session; one asks for channel fax; and one reuses ctx-e5000000-0012-paylink for a different ticket. Then 400 invalid-request for nothing to settle, 422 request-unprocessable for the channel (§13.1a; F-ACC-03 fixed), and 409 idempotency-conflict.</t>
        </is>
      </c>
      <c r="F13" s="5" t="inlineStr">
        <is>
          <t>POST /v1/payment-links → 400
POST /v1/payment-links → 422
POST /v1/payment-links → 409</t>
        </is>
      </c>
      <c r="G13" s="5">
        <f>IF(F13="",0,LEN(F13)-LEN(SUBSTITUTE(F13,CHAR(10),""))+1)</f>
        <v/>
      </c>
      <c r="H13" s="5" t="inlineStr"/>
    </row>
    <row r="14">
      <c r="A14" s="5" t="inlineStr">
        <is>
          <t>ACC-13</t>
        </is>
      </c>
      <c r="B14" s="5" t="inlineStr">
        <is>
          <t>The link expires; the agent sends a fresh one</t>
        </is>
      </c>
      <c r="C14" s="5" t="inlineStr">
        <is>
          <t>lifecycle</t>
        </is>
      </c>
      <c r="D14" s="5" t="inlineStr">
        <is>
          <t>APX-ACC-04</t>
        </is>
      </c>
      <c r="E14" s="5" t="inlineStr">
        <is>
          <t>Given Smithfield Couriers' dispatcher asks for an e-mail link to clear the $240.00 that disabled the fleet account, and the agent gives it 15 minutes. When nobody opens it and the dispatcher calls back forty minutes later. Then the replay of the original key and the read route both show the link expired, cancelling the expired link is 409 payment-state-illegal, and a new key produces a new link (F-ACC-06 fixed; cancelled is reached in ACC-25).</t>
        </is>
      </c>
      <c r="F14" s="5" t="inlineStr">
        <is>
          <t>POST /v1/payment-links → 201
POST /v1/payment-links → 200
GET /v1/payment-links/e6000000-0000-4000-8000-000000000301 → 200
POST /v1/payment-links/e6000000-0000-4000-8000-000000000301/cancel → 409
POST /v1/payment-links → 201</t>
        </is>
      </c>
      <c r="G14" s="5">
        <f>IF(F14="",0,LEN(F14)-LEN(SUBSTITUTE(F14,CHAR(10),""))+1)</f>
        <v/>
      </c>
      <c r="H14" s="5" t="inlineStr"/>
    </row>
    <row r="15">
      <c r="A15" s="5" t="inlineStr">
        <is>
          <t>ACC-14</t>
        </is>
      </c>
      <c r="B15" s="5" t="inlineStr">
        <is>
          <t>A refund needs a supervisor</t>
        </is>
      </c>
      <c r="C15" s="5" t="inlineStr">
        <is>
          <t>lifecycle</t>
        </is>
      </c>
      <c r="D15" s="5" t="inlineStr">
        <is>
          <t>APX-ACC-04, APX-ACC-03, APX-ACC-05</t>
        </is>
      </c>
      <c r="E15" s="5" t="inlineStr">
        <is>
          <t>Given a driver was charged the $32.00 lost-ticket fee (payment e8…0207) and the ticket turned up in the car ten minutes later; the resolution context lists the refund with requiresApproval: true, role supervisor. When the agent refunds without approval evidence, then with it. Then 403 approval-required, then 200 with the record in reversed and refundedAmount 32.00. A second driver overpaid $24.00 instead of $12.00 (e8…0208) and gets a partial refund: 200, still approved, refundedAmount 12.00 (F-ACC-07 fixed); a second agent who tries to refund $24.00 more is 422 because only $12.00 remains. The reversal re-publishes the recorded event with the full current record (§13.4; F-ACC-12 fixed).</t>
        </is>
      </c>
      <c r="F15" s="5" t="inlineStr">
        <is>
          <t>POST /v1/payments/e8000000-0000-4000-8000-000000000207/refund → 403
POST /v1/payments/e8000000-0000-4000-8000-000000000207/refund → 200
POST /v1/payments/e8000000-0000-4000-8000-000000000208/refund → 200
POST /v1/payments/e8000000-0000-4000-8000-000000000208/refund → 422</t>
        </is>
      </c>
      <c r="G15" s="5">
        <f>IF(F15="",0,LEN(F15)-LEN(SUBSTITUTE(F15,CHAR(10),""))+1)</f>
        <v/>
      </c>
      <c r="H15" s="5" t="inlineStr"/>
    </row>
    <row r="16">
      <c r="A16" s="5" t="inlineStr">
        <is>
          <t>ACC-15</t>
        </is>
      </c>
      <c r="B16" s="5" t="inlineStr">
        <is>
          <t>Refund refusals</t>
        </is>
      </c>
      <c r="C16" s="5" t="inlineStr">
        <is>
          <t>refusal</t>
        </is>
      </c>
      <c r="D16" s="5" t="inlineStr">
        <is>
          <t>APX-ACC-04, APX-CORE-05</t>
        </is>
      </c>
      <c r="E16" s="5" t="inlineStr">
        <is>
          <t>Given the reversed payment from ACC-14. When a second agent refunds it again, refunds an id that never existed, refunds without an Idempotency-Key, and replays cc-8110-refund with a different amount. Then a 409 for the wrong state that Part 12 cannot name (F-ACC-04), 404, a 400 idempotency-key-required the operation does not declare although the key is REQUIRED (F-ACC-02), and 409 idempotency-conflict.</t>
        </is>
      </c>
      <c r="F16" s="5" t="inlineStr">
        <is>
          <t>POST /v1/payments/e8000000-0000-4000-8000-000000000207/refund → 409
POST /v1/payments/e8000000-0000-4000-8000-0000000000ff/refund → 404
POST /v1/payments/e8000000-0000-4000-8000-000000000208/refund → 400
POST /v1/payments/e8000000-0000-4000-8000-000000000208/refund → 409</t>
        </is>
      </c>
      <c r="G16" s="5">
        <f>IF(F16="",0,LEN(F16)-LEN(SUBSTITUTE(F16,CHAR(10),""))+1)</f>
        <v/>
      </c>
      <c r="H16" s="5" t="inlineStr"/>
    </row>
    <row r="17">
      <c r="A17" s="5" t="inlineStr">
        <is>
          <t>ACC-16</t>
        </is>
      </c>
      <c r="B17" s="5" t="inlineStr">
        <is>
          <t>Card-in/card-out: authorize at entry, capture at exit</t>
        </is>
      </c>
      <c r="C17" s="5" t="inlineStr">
        <is>
          <t>lifecycle</t>
        </is>
      </c>
      <c r="D17" s="5" t="inlineStr">
        <is>
          <t>APX-ACC-04, APX-ACC-02, APX-ACC-05</t>
        </is>
      </c>
      <c r="E17" s="5" t="inlineStr">
        <is>
          <t>Given Lakeside runs ticketless credit-card-in/out on lane 1: the card tapped at entry is authorized for $50.00 and captured for the real fee at exit. When the lane controller records the authorization with captureLater: true, the night supervisor lists open holds, a plain ticket lookup runs, the exit first tries to capture more than was authorized, then captures $12.50, and a script then tries to void the captured payment. Then 201 with a hold (paymentStatus: approved, captureStatus: authorized: approved by the payment layer, funds held, nothing collected); the hold appears only when captureStatus=authorized is asked for and is absent from the plain lookup; 422 for the over-capture; 200 with captureStatus: captured and the amount settled (the first payment.recorded event is published now); and 409 payment-state-illegal for the void (§13.1a; F-ACC-05, F-ACC-04 fixed). No event is published for the hold itself.</t>
        </is>
      </c>
      <c r="F17" s="5" t="inlineStr">
        <is>
          <t>POST /v1/payments → 201
GET /v1/payments → 200
GET /v1/payments → 200
POST /v1/payments/e8000000-0000-4000-8000-000000000205/capture → 422
POST /v1/payments/e8000000-0000-4000-8000-000000000205/capture → 200
POST /v1/payments/e8000000-0000-4000-8000-000000000205/void → 409</t>
        </is>
      </c>
      <c r="G17" s="5">
        <f>IF(F17="",0,LEN(F17)-LEN(SUBSTITUTE(F17,CHAR(10),""))+1)</f>
        <v/>
      </c>
      <c r="H17" s="5" t="inlineStr"/>
    </row>
    <row r="18">
      <c r="A18" s="5" t="inlineStr">
        <is>
          <t>ACC-17</t>
        </is>
      </c>
      <c r="B18" s="5" t="inlineStr">
        <is>
          <t>The car never came back: void the authorization</t>
        </is>
      </c>
      <c r="C18" s="5" t="inlineStr">
        <is>
          <t>lifecycle</t>
        </is>
      </c>
      <c r="D18" s="5" t="inlineStr">
        <is>
          <t>APX-ACC-04</t>
        </is>
      </c>
      <c r="E18" s="5" t="inlineStr">
        <is>
          <t>Given an authorization e8…0206 (the twin of ACC-16's) whose vehicle left through a lane with no reader; at close of day the controller releases the hold. When it voids the hold (no event is published: nothing was collected), the retry replays the same key, a later script tries to capture it, and two calls target an id that never existed. Then 200 with the record in reversed, 200 again (the current representation), 409 payment-state-illegal for the capture (§13.1a table), and 404 twice.</t>
        </is>
      </c>
      <c r="F18" s="5" t="inlineStr">
        <is>
          <t>POST /v1/payments/e8000000-0000-4000-8000-000000000206/void → 200
POST /v1/payments/e8000000-0000-4000-8000-000000000206/void → 200
POST /v1/payments/e8000000-0000-4000-8000-000000000206/capture → 409
POST /v1/payments/e8000000-0000-4000-8000-0000000000ff/capture → 404
POST /v1/payments/e8000000-0000-4000-8000-0000000000ff/void → 404</t>
        </is>
      </c>
      <c r="G18" s="5">
        <f>IF(F18="",0,LEN(F18)-LEN(SUBSTITUTE(F18,CHAR(10),""))+1)</f>
        <v/>
      </c>
      <c r="H18" s="5" t="inlineStr"/>
    </row>
    <row r="19">
      <c r="A19" s="5" t="inlineStr">
        <is>
          <t>ACC-18</t>
        </is>
      </c>
      <c r="B19" s="5" t="inlineStr">
        <is>
          <t>"I paid at the pay station": the last four of the ticket</t>
        </is>
      </c>
      <c r="C19" s="5" t="inlineStr">
        <is>
          <t>happy</t>
        </is>
      </c>
      <c r="D19" s="5" t="inlineStr">
        <is>
          <t>APX-PHX-01, APX-ACC-03</t>
        </is>
      </c>
      <c r="E19" s="5" t="inlineStr">
        <is>
          <t>Given a driver at the exit at 21:40 whose ticket reads "unpaid"; they paid at pay station 3 at 19:02 and the grace period ran out. They can read only the last four digits, 8214. When the agent searches without a date, then with yesterday's date, then by the card's last four. Then the first returns only today's payment (yesterday's T-48214, same last four, is outside the 8-hour window and is not returned), the second returns yesterday's, and the card lookup finds the same record. Every record names its place.</t>
        </is>
      </c>
      <c r="F19" s="5" t="inlineStr">
        <is>
          <t>GET /v1/payments → 200
GET /v1/payments → 200
GET /v1/payments → 200</t>
        </is>
      </c>
      <c r="G19" s="5">
        <f>IF(F19="",0,LEN(F19)-LEN(SUBSTITUTE(F19,CHAR(10),""))+1)</f>
        <v/>
      </c>
      <c r="H19" s="5" t="inlineStr"/>
    </row>
    <row r="20">
      <c r="A20" s="5" t="inlineStr">
        <is>
          <t>ACC-19</t>
        </is>
      </c>
      <c r="B20" s="5" t="inlineStr">
        <is>
          <t>Paid this morning, calling tonight</t>
        </is>
      </c>
      <c r="C20" s="5" t="inlineStr">
        <is>
          <t>edge</t>
        </is>
      </c>
      <c r="D20" s="5" t="inlineStr">
        <is>
          <t>APX-PHX-01</t>
        </is>
      </c>
      <c r="E20" s="5" t="inlineStr">
        <is>
          <t>Given a driver who paid at 09:15 and calls at 21:40 with the card's last four, 1881. When the agent searches without a date. Then the empty list is correct: twelve hours is outside the privacy window and the window MUST NOT be widened by configuration. With today's date the record appears. Older records are found by the full ticket number or an account-scoped query, both exempt from the window, and a bare query with no key is 400 invalid-request (§13.2; F-ACC-10 fixed).</t>
        </is>
      </c>
      <c r="F20" s="5" t="inlineStr">
        <is>
          <t>GET /v1/payments → 200
GET /v1/payments → 200
GET /v1/payments → 200
GET /v1/payments → 200
GET /v1/payments → 400
GET /v1/payments → 400
GET /v1/payments → 200</t>
        </is>
      </c>
      <c r="G20" s="5">
        <f>IF(F20="",0,LEN(F20)-LEN(SUBSTITUTE(F20,CHAR(10),""))+1)</f>
        <v/>
      </c>
      <c r="H20" s="5" t="inlineStr"/>
    </row>
    <row r="21">
      <c r="A21" s="5" t="inlineStr">
        <is>
          <t>ACC-20</t>
        </is>
      </c>
      <c r="B21" s="5" t="inlineStr">
        <is>
          <t>A full PAN never rides the API</t>
        </is>
      </c>
      <c r="C21" s="5" t="inlineStr">
        <is>
          <t>security</t>
        </is>
      </c>
      <c r="D21" s="5" t="inlineStr">
        <is>
          <t>APX-CORE-10, APX-ACC-02, APX-ACC-06</t>
        </is>
      </c>
      <c r="E21" s="5" t="inlineStr">
        <is>
          <t>Given a console vendor whose first build sends the whole card number. When it puts 16 digits in cardLast4, then in a made-up cardNumber member, then in the cardLast4 query of the history lookup, then in a payment-link body. Then each is refused with 422 personal-data-not-permitted before anything is stored or logged (§13.1; F-ACC-03, F-ACC-14 fixed). The query parameter keeps no pattern — adding one would break existing clients — so the refusal is a declared rule, not a schema failure.</t>
        </is>
      </c>
      <c r="F21" s="5" t="inlineStr">
        <is>
          <t>POST /v1/payments → 422
POST /v1/payments → 422
GET /v1/payments → 422
POST /v1/payment-links → 422</t>
        </is>
      </c>
      <c r="G21" s="5">
        <f>IF(F21="",0,LEN(F21)-LEN(SUBSTITUTE(F21,CHAR(10),""))+1)</f>
        <v/>
      </c>
      <c r="H21" s="5" t="inlineStr"/>
    </row>
    <row r="22">
      <c r="A22" s="5" t="inlineStr">
        <is>
          <t>ACC-21</t>
        </is>
      </c>
      <c r="B22" s="5" t="inlineStr">
        <is>
          <t>Harbor Deck is not in the grant</t>
        </is>
      </c>
      <c r="C22" s="5" t="inlineStr">
        <is>
          <t>security</t>
        </is>
      </c>
      <c r="D22" s="5" t="inlineStr">
        <is>
          <t>APX-CORE-07, APX-ACC-03</t>
        </is>
      </c>
      <c r="E22" s="5" t="inlineStr">
        <is>
          <t>Given the Lakeside token. When it takes a payment bound to Harbor Deck, sends a link for a Harbor account, refunds a Harbor payment, and captures one. Then four 403 insufficient-grant; the place binding on every payment is what makes the check possible.</t>
        </is>
      </c>
      <c r="F22" s="5" t="inlineStr">
        <is>
          <t>POST /v1/payments → 403
POST /v1/payment-links → 403
POST /v1/payments/e8000000-0000-4000-8000-000000000301/refund → 403
POST /v1/payments/e8000000-0000-4000-8000-000000000301/capture → 403</t>
        </is>
      </c>
      <c r="G22" s="5">
        <f>IF(F22="",0,LEN(F22)-LEN(SUBSTITUTE(F22,CHAR(10),""))+1)</f>
        <v/>
      </c>
      <c r="H22" s="5" t="inlineStr"/>
    </row>
    <row r="23">
      <c r="A23" s="5" t="inlineStr">
        <is>
          <t>ACC-22</t>
        </is>
      </c>
      <c r="B23" s="5" t="inlineStr">
        <is>
          <t>Unknown extension keys survive the round-trip</t>
        </is>
      </c>
      <c r="C23" s="5" t="inlineStr">
        <is>
          <t>edge</t>
        </is>
      </c>
      <c r="D23" s="5" t="inlineStr">
        <is>
          <t>APX-CORE-04</t>
        </is>
      </c>
      <c r="E23" s="5" t="inlineStr">
        <is>
          <t>Given the operator's receipting add-on tags every payment and link with apds-ext:acme:receipt@1.0, which this server has never heard of. When a payment is taken with the key, read back from history, and a link is sent with it. Then the container comes back byte-for-byte on the 201 and on the history row, and on the link; the server neither strips nor rewrites it.</t>
        </is>
      </c>
      <c r="F23" s="5" t="inlineStr">
        <is>
          <t>POST /v1/payments → 201
GET /v1/payments → 200
POST /v1/payment-links → 201</t>
        </is>
      </c>
      <c r="G23" s="5">
        <f>IF(F23="",0,LEN(F23)-LEN(SUBSTITUTE(F23,CHAR(10),""))+1)</f>
        <v/>
      </c>
      <c r="H23" s="5" t="inlineStr"/>
    </row>
    <row r="24">
      <c r="A24" s="5" t="inlineStr">
        <is>
          <t>ACC-23</t>
        </is>
      </c>
      <c r="B24" s="5" t="inlineStr">
        <is>
          <t>Month-end: the reconciliation job trips the rate limit</t>
        </is>
      </c>
      <c r="C24" s="5" t="inlineStr">
        <is>
          <t>edge</t>
        </is>
      </c>
      <c r="D24" s="5" t="inlineStr">
        <is>
          <t>APX-CORE-05</t>
        </is>
      </c>
      <c r="E24" s="5" t="inlineStr">
        <is>
          <t>Given a month-end job that walks every account, re-reads every payment, and replays its unposted refunds, voids, captures, and links in a tight loop. When it exceeds the credential's limit. Then 429 rate-limited with Retry-After on every route it touches, and the job backs off.</t>
        </is>
      </c>
      <c r="F24" s="5" t="inlineStr">
        <is>
          <t>GET /v1/accounts → 429
GET /v1/payments → 429
POST /v1/payments → 429
POST /v1/payments/e8000000-0000-4000-8000-000000000208/refund → 429
POST /v1/payments/e8000000-0000-4000-8000-000000000206/void → 429
POST /v1/payments/e8000000-0000-4000-8000-000000000205/capture → 429
POST /v1/payment-links → 429</t>
        </is>
      </c>
      <c r="G24" s="5">
        <f>IF(F24="",0,LEN(F24)-LEN(SUBSTITUTE(F24,CHAR(10),""))+1)</f>
        <v/>
      </c>
      <c r="H24" s="5" t="inlineStr"/>
    </row>
    <row r="25">
      <c r="A25" s="5" t="inlineStr">
        <is>
          <t>ACC-24</t>
        </is>
      </c>
      <c r="B25" s="5" t="inlineStr">
        <is>
          <t>The token expired mid-shift</t>
        </is>
      </c>
      <c r="C25" s="5" t="inlineStr">
        <is>
          <t>edge</t>
        </is>
      </c>
      <c r="D25" s="5" t="inlineStr">
        <is>
          <t>APX-CORE-06</t>
        </is>
      </c>
      <c r="E25" s="5" t="inlineStr">
        <is>
          <t>Given the console's token expired at 23:00 and the refresh has not run yet. When the agent keeps working. Then 401 on every route until the refresh lands, each with problem type unauthenticated (Part 12; F-ACC-01 fixed).</t>
        </is>
      </c>
      <c r="F25" s="5" t="inlineStr">
        <is>
          <t>GET /v1/accounts → 401
GET /v1/payments → 401
POST /v1/payments → 401
POST /v1/payments/e8000000-0000-4000-8000-000000000208/refund → 401
POST /v1/payments/e8000000-0000-4000-8000-000000000206/void → 401
POST /v1/payments/e8000000-0000-4000-8000-000000000205/capture → 401
POST /v1/payment-links → 401</t>
        </is>
      </c>
      <c r="G25" s="5">
        <f>IF(F25="",0,LEN(F25)-LEN(SUBSTITUTE(F25,CHAR(10),""))+1)</f>
        <v/>
      </c>
      <c r="H25" s="5" t="inlineStr"/>
    </row>
    <row r="26">
      <c r="A26" s="5" t="inlineStr">
        <is>
          <t>ACC-25</t>
        </is>
      </c>
      <c r="B26" s="5" t="inlineStr">
        <is>
          <t>Sent to the wrong number: cancel the link</t>
        </is>
      </c>
      <c r="C26" s="5" t="inlineStr">
        <is>
          <t>lifecycle</t>
        </is>
      </c>
      <c r="D26" s="5" t="inlineStr">
        <is>
          <t>APX-ACC-04, APX-ACC-05</t>
        </is>
      </c>
      <c r="E26" s="5" t="inlineStr">
        <is>
          <t>Given the agent typed the caller's number wrong and the SMS link e6…0303 went to a stranger. When the agent cancels it, the console retries the cancel with the same key, reads it back, and then a second agent tries to cancel the link that was already paid in ACC-11. Then 200 cancelled, 200 again with the current representation, 200 on the read, and 409 payment-state-illegal for the paid link (§13.1a; F-ACC-06 fixed). Ids that do not exist are 404, a malformed body is 400, and a Harbor Deck link is 403 insufficient-grant.</t>
        </is>
      </c>
      <c r="F26" s="5" t="inlineStr">
        <is>
          <t>POST /v1/payment-links/e6000000-0000-4000-8000-000000000303/cancel → 200
POST /v1/payment-links/e6000000-0000-4000-8000-000000000303/cancel → 200
GET /v1/payment-links/e6000000-0000-4000-8000-000000000303 → 200
POST /v1/payment-links/e6000000-0000-4000-8000-000000000304/cancel → 409
POST /v1/payment-links/e6000000-0000-4000-8000-000000000052/cancel → 409
GET /v1/payment-links/e6000000-0000-4000-8000-0000000003ff → 404
POST /v1/payment-links/e6000000-0000-4000-8000-0000000003ff/cancel → 404
POST /v1/payment-links/e6000000-0000-4000-8000-000000000305/cancel → 400
GET /v1/payment-links/e6000000-0000-4000-8000-000000000390 → 403
POST /v1/payment-links/e6000000-0000-4000-8000-000000000390/cancel → 403</t>
        </is>
      </c>
      <c r="G26" s="5">
        <f>IF(F26="",0,LEN(F26)-LEN(SUBSTITUTE(F26,CHAR(10),""))+1)</f>
        <v/>
      </c>
      <c r="H26" s="5" t="inlineStr"/>
    </row>
    <row r="27">
      <c r="A27" s="5" t="inlineStr">
        <is>
          <t>ACC-26</t>
        </is>
      </c>
      <c r="B27" s="5" t="inlineStr">
        <is>
          <t>The shared responses on the remaining routes</t>
        </is>
      </c>
      <c r="C27" s="5" t="inlineStr">
        <is>
          <t>edge</t>
        </is>
      </c>
      <c r="D27" s="5" t="inlineStr">
        <is>
          <t>APX-CORE-05, APX-CORE-06, APX-CORE-07</t>
        </is>
      </c>
      <c r="E27" s="5" t="inlineStr">
        <is>
          <t>Given the console from ACC-23 (rate-limited), ACC-24 (expired token), and a read-only reporting token (apx.accounts:read only). When each hits the routes the earlier scenarios did not. Then the shared 401, 403, 429, and 400 responses every secured operation declares (Part 12 §12.3).</t>
        </is>
      </c>
      <c r="F27" s="5" t="inlineStr">
        <is>
          <t>GET /v1/accounts/c2000000-0000-4000-8000-000000000004 → 401
GET /v1/accounts/c2000000-0000-4000-8000-000000000004 → 429
POST /v1/payments/e8000000-0000-4000-8000-000000000201/postings → 401
POST /v1/payments/e8000000-0000-4000-8000-000000000201/postings → 403
POST /v1/payments/e8000000-0000-4000-8000-000000000201/postings → 429
POST /v1/payments/e8000000-0000-4000-8000-000000000201/postings → 400
POST /v1/payments/e8000000-0000-4000-8000-000000000206/void → 400
POST /v1/payments/e8000000-0000-4000-8000-000000000205/capture → 400
GET /v1/payment-links/e6000000-0000-4000-8000-000000000303 → 401
GET /v1/payment-links/e6000000-0000-4000-8000-000000000303 → 429
POST /v1/payment-links/e6000000-0000-4000-8000-000000000304/cancel → 401
POST /v1/payment-links/e6000000-0000-4000-8000-000000000304/cancel → 429</t>
        </is>
      </c>
      <c r="G27" s="5">
        <f>IF(F27="",0,LEN(F27)-LEN(SUBSTITUTE(F27,CHAR(10),""))+1)</f>
        <v/>
      </c>
      <c r="H27" s="5"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2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4" customWidth="1" min="2" max="2"/>
    <col width="11" customWidth="1" min="3" max="3"/>
    <col width="26" customWidth="1" min="4" max="4"/>
    <col width="90" customWidth="1" min="5" max="5"/>
    <col width="52" customWidth="1" min="6" max="6"/>
    <col width="10" customWidth="1" min="7" max="7"/>
    <col width="14" customWidth="1" min="8" max="8"/>
  </cols>
  <sheetData>
    <row r="1">
      <c r="A1" s="3" t="inlineStr">
        <is>
          <t>ID</t>
        </is>
      </c>
      <c r="B1" s="3" t="inlineStr">
        <is>
          <t>Title</t>
        </is>
      </c>
      <c r="C1" s="3" t="inlineStr">
        <is>
          <t>Kind</t>
        </is>
      </c>
      <c r="D1" s="3" t="inlineStr">
        <is>
          <t>Annex A rows</t>
        </is>
      </c>
      <c r="E1" s="3" t="inlineStr">
        <is>
          <t>Scenario (Given / When / Then)</t>
        </is>
      </c>
      <c r="F1" s="3" t="inlineStr">
        <is>
          <t>Exchanges (request → status)</t>
        </is>
      </c>
      <c r="G1" s="3" t="inlineStr">
        <is>
          <t>Exchange count</t>
        </is>
      </c>
      <c r="H1" s="3" t="inlineStr">
        <is>
          <t>Open spec gap</t>
        </is>
      </c>
    </row>
    <row r="2">
      <c r="A2" s="5" t="inlineStr">
        <is>
          <t>ALT-01</t>
        </is>
      </c>
      <c r="B2" s="5" t="inlineStr">
        <is>
          <t>The intercom is pressed at exit lane 2</t>
        </is>
      </c>
      <c r="C2" s="5" t="inlineStr">
        <is>
          <t>happy</t>
        </is>
      </c>
      <c r="D2" s="5" t="inlineStr">
        <is>
          <t>APX-ALT-02, APX-ALT-03</t>
        </is>
      </c>
      <c r="E2" s="5" t="inlineStr">
        <is>
          <t>Given a driver presses the intercom at exit lane 2 and the lane controller integrates with the alert plane. When it raises an intercomRequest with an idempotency key, the intercom as source.device and the lane as source.place. Then 201 with the full alert in raised, one history entry, provenance in recordInfo; subscribers receive apx.alert.raised.v1 with the same alert as data; and a read by id returns it unchanged.</t>
        </is>
      </c>
      <c r="F2" s="5" t="inlineStr">
        <is>
          <t>POST /v1/alerts → 201
GET /v1/alerts/e7000000-0000-4000-8000-000000000701 → 200</t>
        </is>
      </c>
      <c r="G2" s="5">
        <f>IF(F2="",0,LEN(F2)-LEN(SUBSTITUTE(F2,CHAR(10),""))+1)</f>
        <v/>
      </c>
      <c r="H2" s="5" t="n"/>
    </row>
    <row r="3">
      <c r="A3" s="5" t="inlineStr">
        <is>
          <t>ALT-02</t>
        </is>
      </c>
      <c r="B3" s="5" t="inlineStr">
        <is>
          <t>The lane controller retries: same key, same body, before and after acknowledgement</t>
        </is>
      </c>
      <c r="C3" s="5" t="inlineStr">
        <is>
          <t>edge</t>
        </is>
      </c>
      <c r="D3" s="5" t="inlineStr">
        <is>
          <t>APX-ALT-02, APX-ALT-01</t>
        </is>
      </c>
      <c r="E3" s="5" t="inlineStr">
        <is>
          <t>Given the 201 from ALT-01 never reached the lane controller. When it replays the identical key and body; the agent then picks up the intercom and acknowledges; and a late duplicate arrives after that. Then the first replay is 200 with the original alert, the acknowledgement is 200 at version 2, and the late replay is 200 again — no second alert exists. The late replay returns the alert as it now stands, acknowledged at version 2 (Part 4 §4.2a, Part 7 §7.2; F-ALT-09 fixed).</t>
        </is>
      </c>
      <c r="F3" s="5" t="inlineStr">
        <is>
          <t>POST /v1/alerts → 200
POST /v1/alerts/e7000000-0000-4000-8000-000000000701/acknowledge → 200
POST /v1/alerts → 200</t>
        </is>
      </c>
      <c r="G3" s="5">
        <f>IF(F3="",0,LEN(F3)-LEN(SUBSTITUTE(F3,CHAR(10),""))+1)</f>
        <v/>
      </c>
      <c r="H3" s="5" t="n"/>
    </row>
    <row r="4">
      <c r="A4" s="5" t="inlineStr">
        <is>
          <t>ALT-03</t>
        </is>
      </c>
      <c r="B4" s="5" t="inlineStr">
        <is>
          <t>Same key, different body; and no key at all</t>
        </is>
      </c>
      <c r="C4" s="5" t="inlineStr">
        <is>
          <t>refusal</t>
        </is>
      </c>
      <c r="D4" s="5" t="inlineStr">
        <is>
          <t>APX-ALT-02, APX-CORE-05</t>
        </is>
      </c>
      <c r="E4" s="5" t="inlineStr">
        <is>
          <t>Given a firmware bug reuses the intercom key for a second press on the entry lane, and a second device omits the header entirely. When both POST. Then 409 idempotency-conflict for the reused key and 400 idempotency-key-required for the missing one; neither raises anything.</t>
        </is>
      </c>
      <c r="F4" s="5" t="inlineStr">
        <is>
          <t>POST /v1/alerts → 409
POST /v1/alerts → 400</t>
        </is>
      </c>
      <c r="G4" s="5">
        <f>IF(F4="",0,LEN(F4)-LEN(SUBSTITUTE(F4,CHAR(10),""))+1)</f>
        <v/>
      </c>
      <c r="H4" s="5" t="n"/>
    </row>
    <row r="5">
      <c r="A5" s="5" t="inlineStr">
        <is>
          <t>ALT-04</t>
        </is>
      </c>
      <c r="B5" s="5" t="inlineStr">
        <is>
          <t>Alerts the schema refuses: a made-up severity, no detection time</t>
        </is>
      </c>
      <c r="C5" s="5" t="inlineStr">
        <is>
          <t>refusal</t>
        </is>
      </c>
      <c r="D5" s="5" t="inlineStr">
        <is>
          <t>APX-ALT-03, APX-CORE-05</t>
        </is>
      </c>
      <c r="E5" s="5" t="inlineStr">
        <is>
          <t>Given two integrators reading the schema loosely. When one sends severity: urgent (severity is CLOSED) and one omits detectionTime. Then both are 400 invalid-request, with errors[] naming the field (Part 12 §12.4; F-ALT-05 fixed).</t>
        </is>
      </c>
      <c r="F5" s="5" t="inlineStr">
        <is>
          <t>POST /v1/alerts → 400
POST /v1/alerts → 400</t>
        </is>
      </c>
      <c r="G5" s="5">
        <f>IF(F5="",0,LEN(F5)-LEN(SUBSTITUTE(F5,CHAR(10),""))+1)</f>
        <v/>
      </c>
      <c r="H5" s="5" t="n"/>
    </row>
    <row r="6">
      <c r="A6" s="5" t="inlineStr">
        <is>
          <t>ALT-05</t>
        </is>
      </c>
      <c r="B6" s="5" t="inlineStr">
        <is>
          <t>Pay station 3 faults: auto-raised, acknowledged, resolved</t>
        </is>
      </c>
      <c r="C6" s="5" t="inlineStr">
        <is>
          <t>lifecycle</t>
        </is>
      </c>
      <c r="D6" s="5" t="inlineStr">
        <is>
          <t>APX-ALT-01, APX-ALT-03</t>
        </is>
      </c>
      <c r="E6" s="5" t="inlineStr">
        <is>
          <t>Given pay station 3 transitions to fault on the Control plane (Part 6 §6.4 says that SHOULD auto-raise a deviceFault). When the server raises it, the agent acknowledges it, and the field tech resolves it two hours later. Then subscribers see one apx.alert.raised.v1 and two apx.alert.status.v1 events, version climbs 1 → 2 → 3, and the history is only ever appended to. No client POSTed the raise.</t>
        </is>
      </c>
      <c r="F6" s="5" t="inlineStr">
        <is>
          <t>POST /v1/alerts/e7000000-0000-4000-8000-000000000702/acknowledge → 200
POST /v1/alerts/e7000000-0000-4000-8000-000000000702/resolve → 200</t>
        </is>
      </c>
      <c r="G6" s="5">
        <f>IF(F6="",0,LEN(F6)-LEN(SUBSTITUTE(F6,CHAR(10),""))+1)</f>
        <v/>
      </c>
      <c r="H6" s="5" t="n"/>
    </row>
    <row r="7">
      <c r="A7" s="5" t="inlineStr">
        <is>
          <t>ALT-06</t>
        </is>
      </c>
      <c r="B7" s="5" t="inlineStr">
        <is>
          <t>Lane blocked and cleared on the spot: raised straight to resolved</t>
        </is>
      </c>
      <c r="C7" s="5" t="inlineStr">
        <is>
          <t>lifecycle</t>
        </is>
      </c>
      <c r="D7" s="5" t="inlineStr">
        <is>
          <t>APX-ALT-01</t>
        </is>
      </c>
      <c r="E7" s="5" t="inlineStr">
        <is>
          <t>Given a stalled car in exit lane 2 and an attendant already walking over. When the lane raises laneBlocked at critical and, four minutes later, the attendant resolves it without anyone having acknowledged. Then 201, then 200 in resolved at version 2 with a two-entry history. Part 7 §7.3 permits raised → resolved directly; no acknowledgement is required.</t>
        </is>
      </c>
      <c r="F7" s="5" t="inlineStr">
        <is>
          <t>POST /v1/alerts → 201
POST /v1/alerts/e7000000-0000-4000-8000-000000000703/resolve → 200</t>
        </is>
      </c>
      <c r="G7" s="5">
        <f>IF(F7="",0,LEN(F7)-LEN(SUBSTITUTE(F7,CHAR(10),""))+1)</f>
        <v/>
      </c>
      <c r="H7" s="5" t="n"/>
    </row>
    <row r="8">
      <c r="A8" s="5" t="inlineStr">
        <is>
          <t>ALT-07</t>
        </is>
      </c>
      <c r="B8" s="5" t="inlineStr">
        <is>
          <t>Transitions the state machine forbids</t>
        </is>
      </c>
      <c r="C8" s="5" t="inlineStr">
        <is>
          <t>refusal</t>
        </is>
      </c>
      <c r="D8" s="5" t="inlineStr">
        <is>
          <t>APX-ALT-01, APX-CORE-05</t>
        </is>
      </c>
      <c r="E8" s="5" t="inlineStr">
        <is>
          <t>Given the intercom alert is acknowledged (ALT-02) and the pay-station alert is resolved (ALT-05). When a console acknowledges the acknowledged one, acknowledges the resolved one, and resolves the resolved one. Then each is 409 alert-transition-illegal and nothing changes — terminal states never transition (F-ALT-01 fixed).</t>
        </is>
      </c>
      <c r="F8" s="5" t="inlineStr">
        <is>
          <t>POST /v1/alerts/e7000000-0000-4000-8000-000000000701/acknowledge → 409
POST /v1/alerts/e7000000-0000-4000-8000-000000000702/acknowledge → 409
POST /v1/alerts/e7000000-0000-4000-8000-000000000702/resolve → 409</t>
        </is>
      </c>
      <c r="G8" s="5">
        <f>IF(F8="",0,LEN(F8)-LEN(SUBSTITUTE(F8,CHAR(10),""))+1)</f>
        <v/>
      </c>
      <c r="H8" s="5" t="n"/>
    </row>
    <row r="9">
      <c r="A9" s="5" t="inlineStr">
        <is>
          <t>ALT-08</t>
        </is>
      </c>
      <c r="B9" s="5" t="inlineStr">
        <is>
          <t>An id that does not exist</t>
        </is>
      </c>
      <c r="C9" s="5" t="inlineStr">
        <is>
          <t>refusal</t>
        </is>
      </c>
      <c r="D9" s="5" t="inlineStr">
        <is>
          <t>APX-ALT-01</t>
        </is>
      </c>
      <c r="E9" s="5" t="inlineStr">
        <is>
          <t>Given a console holding a stale id from a purged alert. When it reads, acknowledges, and resolves that id. Then 404 target-not-found on all three; every Alerts route declares 404 (F-ALT-02 fixed).</t>
        </is>
      </c>
      <c r="F9" s="5" t="inlineStr">
        <is>
          <t>GET /v1/alerts/e7000000-0000-4000-8000-000000000fff → 404
POST /v1/alerts/e7000000-0000-4000-8000-000000000fff/acknowledge → 404
POST /v1/alerts/e7000000-0000-4000-8000-000000000fff/resolve → 404</t>
        </is>
      </c>
      <c r="G9" s="5">
        <f>IF(F9="",0,LEN(F9)-LEN(SUBSTITUTE(F9,CHAR(10),""))+1)</f>
        <v/>
      </c>
      <c r="H9" s="5" t="n"/>
    </row>
    <row r="10">
      <c r="A10" s="5" t="inlineStr">
        <is>
          <t>ALT-09</t>
        </is>
      </c>
      <c r="B10" s="5" t="inlineStr">
        <is>
          <t>An occupancy alert nobody touched expires on its own</t>
        </is>
      </c>
      <c r="C10" s="5" t="inlineStr">
        <is>
          <t>lifecycle</t>
        </is>
      </c>
      <c r="D10" s="5" t="inlineStr">
        <is>
          <t>APX-ALT-01, APX-ALT-03, APX-ALT-04</t>
        </is>
      </c>
      <c r="E10" s="5" t="inlineStr">
        <is>
          <t>Given the occupancy engine raises occupancyThresholdExceeded when Lakeside crosses 95 percent, asking for a sixty-minute window with expiryTime. When nobody acknowledges it and occupancy falls back. Then at expiryTime the server moves it to expired, publishes apx.alert.status.v1, and a late acknowledge is 409. Every reader sees when the alert will lapse (Part 7 §7.3; F-ALT-03 fixed).</t>
        </is>
      </c>
      <c r="F10" s="5" t="inlineStr">
        <is>
          <t>POST /v1/alerts → 201
GET /v1/alerts/e7000000-0000-4000-8000-000000000704 → 200
POST /v1/alerts/e7000000-0000-4000-8000-000000000704/acknowledge → 409</t>
        </is>
      </c>
      <c r="G10" s="5">
        <f>IF(F10="",0,LEN(F10)-LEN(SUBSTITUTE(F10,CHAR(10),""))+1)</f>
        <v/>
      </c>
      <c r="H10" s="5" t="n"/>
    </row>
    <row r="11">
      <c r="A11" s="5" t="inlineStr">
        <is>
          <t>ALT-10</t>
        </is>
      </c>
      <c r="B11" s="5" t="inlineStr">
        <is>
          <t>The ops board: what is open, what is serious, and the subtree rule</t>
        </is>
      </c>
      <c r="C11" s="5" t="inlineStr">
        <is>
          <t>happy</t>
        </is>
      </c>
      <c r="D11" s="5" t="inlineStr">
        <is>
          <t>APX-ALT-03</t>
        </is>
      </c>
      <c r="E11" s="5" t="inlineStr">
        <is>
          <t>Given at 19:00 two alerts are open at Lakeside, both sourced on lanes: a major deviceFault on the exit gate (lane b2…0002) and a critical laneBlocked on the entry lane (b2…0001). When the board asks for raised alerts of major or worse at the *garage*, then at one lane, then only critical. Then the garage query returns both (a lane is inside its Place: subtree-inclusive), the lane query returns one, and the severityFloor query returns only the critical one.</t>
        </is>
      </c>
      <c r="F11" s="5" t="inlineStr">
        <is>
          <t>GET /v1/alerts → 200
GET /v1/alerts → 200
GET /v1/alerts → 200</t>
        </is>
      </c>
      <c r="G11" s="5">
        <f>IF(F11="",0,LEN(F11)-LEN(SUBSTITUTE(F11,CHAR(10),""))+1)</f>
        <v/>
      </c>
      <c r="H11" s="5" t="n"/>
    </row>
    <row r="12">
      <c r="A12" s="5" t="inlineStr">
        <is>
          <t>ALT-11</t>
        </is>
      </c>
      <c r="B12" s="5" t="inlineStr">
        <is>
          <t>Wrong way at Riverside Lot: raised by the operator's own rule</t>
        </is>
      </c>
      <c r="C12" s="5" t="inlineStr">
        <is>
          <t>happy</t>
        </is>
      </c>
      <c r="D12" s="5" t="inlineStr">
        <is>
          <t>APX-ALT-03</t>
        </is>
      </c>
      <c r="E12" s="5" t="inlineStr">
        <is>
          <t>Given a pickup enters Riverside Lot through the exit lane; the LPR system reports the read as accessEvent: entry on lane b2…0061. APX itself defines no wrong-way travel and never raises this alert (Part 13 §13.3a(6)), but wrongWayTravel stays in the registry as an operator-defined type. When the operator's own rules engine, which does care about lanes at this lot, raises wrongWayTravel with the Observation as relatedEntity, and the ops console lists today's wrong-way alerts for the lot and acknowledges the one it finds. Then the raise event carries the evidence reference, the type + place + since query finds it under the lot (the lane is in the subtree), and the acknowledge is 200.</t>
        </is>
      </c>
      <c r="F12" s="5" t="inlineStr">
        <is>
          <t>GET /v1/alerts → 200
POST /v1/alerts/e7000000-0000-4000-8000-000000000741/acknowledge → 200</t>
        </is>
      </c>
      <c r="G12" s="5">
        <f>IF(F12="",0,LEN(F12)-LEN(SUBSTITUTE(F12,CHAR(10),""))+1)</f>
        <v/>
      </c>
      <c r="H12" s="5" t="n"/>
    </row>
    <row r="13">
      <c r="A13" s="5" t="inlineStr">
        <is>
          <t>ALT-12</t>
        </is>
      </c>
      <c r="B13" s="5" t="inlineStr">
        <is>
          <t>The guidance system sweeps level 2: the space-status family</t>
        </is>
      </c>
      <c r="C13" s="5" t="inlineStr">
        <is>
          <t>happy</t>
        </is>
      </c>
      <c r="D13" s="5" t="inlineStr">
        <is>
          <t>APX-ALT-03</t>
        </is>
      </c>
      <c r="E13" s="5" t="inlineStr">
        <is>
          <t>Given the parking guidance system reconciles bay sensors against sessions every five minutes. When it finds a petrol car in the EV bay and raises iceInEvSpace with the Session as relatedEntity, and the board then lists everything raised at Lakeside since the sweep. Then 201, and a list holding the whole seeded space-status family: iceInEvSpace, occupiedWithoutCheckIn, wrongSpace, noCheckOut, overstay, each sourced on its Space, all info/warning.</t>
        </is>
      </c>
      <c r="F13" s="5" t="inlineStr">
        <is>
          <t>POST /v1/alerts → 201
GET /v1/alerts → 200</t>
        </is>
      </c>
      <c r="G13" s="5">
        <f>IF(F13="",0,LEN(F13)-LEN(SUBSTITUTE(F13,CHAR(10),""))+1)</f>
        <v/>
      </c>
      <c r="H13" s="5" t="n"/>
    </row>
    <row r="14">
      <c r="A14" s="5" t="inlineStr">
        <is>
          <t>ALT-13</t>
        </is>
      </c>
      <c r="B14" s="5" t="inlineStr">
        <is>
          <t>The lane display goes quiet, then comes back</t>
        </is>
      </c>
      <c r="C14" s="5" t="inlineStr">
        <is>
          <t>lifecycle</t>
        </is>
      </c>
      <c r="D14" s="5" t="inlineStr">
        <is>
          <t>APX-ALT-01, APX-ALT-03</t>
        </is>
      </c>
      <c r="E14" s="5" t="inlineStr">
        <is>
          <t>Given the heartbeat monitor raises deviceOffline when a device's lastCommunication is older than five minutes. When the lane display stops answering, and twenty minutes later starts again. Then the server raises the alert and, on recovery, resolves it itself — the actor in the history is the server, not a person — and publishes apx.alert.status.v1.</t>
        </is>
      </c>
      <c r="F14" s="5" t="inlineStr">
        <is>
          <t>GET /v1/alerts/e7000000-0000-4000-8000-000000000708 → 200</t>
        </is>
      </c>
      <c r="G14" s="5">
        <f>IF(F14="",0,LEN(F14)-LEN(SUBSTITUTE(F14,CHAR(10),""))+1)</f>
        <v/>
      </c>
      <c r="H14" s="5" t="n"/>
    </row>
    <row r="15">
      <c r="A15" s="5" t="inlineStr">
        <is>
          <t>ALT-14</t>
        </is>
      </c>
      <c r="B15" s="5" t="inlineStr">
        <is>
          <t>The webhook that died, and the alert that must not chase it</t>
        </is>
      </c>
      <c r="C15" s="5" t="inlineStr">
        <is>
          <t>edge</t>
        </is>
      </c>
      <c r="D15" s="5" t="inlineStr">
        <is>
          <t>APX-ALT-03, APX-ALT-05</t>
        </is>
      </c>
      <c r="E15" s="5" t="inlineStr">
        <is>
          <t>Given subscription f5…0031 exhausted its 24-hour retry schedule (Part 8 §8.3) and moved to failed. When the server raises webhookDeliveryFailed with the Subscription as relatedEntity and no source.place — a subscription has none — and the ops console lists open delivery failures. Then the raise is delivered to every *other* subscriber and never to f5…0031 (§7.4). The alert has no place binding, so it is bound to the organisation that owns the subscription: the ops console sees it whatever its apx_places, a place-filtered list leaves it out, and a token of another organisation never sees it (Part 7 §7.1, Part 9 §9.3a; F-ALT-08 fixed).</t>
        </is>
      </c>
      <c r="F15" s="5" t="inlineStr">
        <is>
          <t>GET /v1/alerts → 200
GET /v1/alerts → 200
GET /v1/alerts → 200</t>
        </is>
      </c>
      <c r="G15" s="5">
        <f>IF(F15="",0,LEN(F15)-LEN(SUBSTITUTE(F15,CHAR(10),""))+1)</f>
        <v/>
      </c>
      <c r="H15" s="5" t="n"/>
    </row>
    <row r="16">
      <c r="A16" s="5" t="inlineStr">
        <is>
          <t>ALT-15</t>
        </is>
      </c>
      <c r="B16" s="5" t="inlineStr">
        <is>
          <t>Wrong scope, wrong grant, no grant</t>
        </is>
      </c>
      <c r="C16" s="5" t="inlineStr">
        <is>
          <t>security</t>
        </is>
      </c>
      <c r="D16" s="5" t="inlineStr">
        <is>
          <t>APX-CORE-07, APX-CORE-08, APX-ALT-01</t>
        </is>
      </c>
      <c r="E16" s="5" t="inlineStr">
        <is>
          <t>Given five tokens. When a read-only token raises an alert; a write-only token lists them; a Lakeside token raises one on Harbor Deck's exit lane; the same token lists Harbor Deck's alerts; a token with no apx_places claim raises one at Lakeside; and the read-only token acknowledges. Then 403 insufficient-scope, 403 insufficient-scope, 403 insufficient-grant, 403 insufficient-grant, 403 insufficient-grant (fail-closed), and 403 insufficient-scope on the acknowledge (F-ALT-02 fixed).</t>
        </is>
      </c>
      <c r="F16" s="5" t="inlineStr">
        <is>
          <t>POST /v1/alerts → 403
GET /v1/alerts → 403
POST /v1/alerts → 403
GET /v1/alerts → 403
POST /v1/alerts → 403
POST /v1/alerts/e7000000-0000-4000-8000-000000000706/acknowledge → 403</t>
        </is>
      </c>
      <c r="G16" s="5">
        <f>IF(F16="",0,LEN(F16)-LEN(SUBSTITUTE(F16,CHAR(10),""))+1)</f>
        <v/>
      </c>
      <c r="H16" s="5" t="n"/>
    </row>
    <row r="17">
      <c r="A17" s="5" t="inlineStr">
        <is>
          <t>ALT-16</t>
        </is>
      </c>
      <c r="B17" s="5" t="inlineStr">
        <is>
          <t>Harbor Deck's alert, by id</t>
        </is>
      </c>
      <c r="C17" s="5" t="inlineStr">
        <is>
          <t>security</t>
        </is>
      </c>
      <c r="D17" s="5" t="inlineStr">
        <is>
          <t>APX-CORE-07</t>
        </is>
      </c>
      <c r="E17" s="5" t="inlineStr">
        <is>
          <t>Given a Lakeside token somehow holds the id of an alert raised at Harbor Deck. When it reads that id. Then 403 insufficient-grant (Part 9 §9.3a rule 1), now declared on the route (F-ALT-02 fixed).</t>
        </is>
      </c>
      <c r="F17" s="5" t="inlineStr">
        <is>
          <t>GET /v1/alerts/e7000000-0000-4000-8000-000000000799 → 403</t>
        </is>
      </c>
      <c r="G17" s="5">
        <f>IF(F17="",0,LEN(F17)-LEN(SUBSTITUTE(F17,CHAR(10),""))+1)</f>
        <v/>
      </c>
      <c r="H17" s="5" t="n"/>
    </row>
    <row r="18">
      <c r="A18" s="5" t="inlineStr">
        <is>
          <t>ALT-17</t>
        </is>
      </c>
      <c r="B18" s="5" t="inlineStr">
        <is>
          <t>A dashboard polls too fast, then its token dies</t>
        </is>
      </c>
      <c r="C18" s="5" t="inlineStr">
        <is>
          <t>edge</t>
        </is>
      </c>
      <c r="D18" s="5" t="inlineStr">
        <is>
          <t>APX-CORE-05</t>
        </is>
      </c>
      <c r="E18" s="5" t="inlineStr">
        <is>
          <t>Given a wallboard polling the alert list every 200 ms while a lane controller floods raises during a retry storm. When both exceed the rate limit, and later both keep going on an expired token. Then 429 with Retry-After on the raise and the list, and 401 unauthenticated on both (F-CTL-07 fixed).</t>
        </is>
      </c>
      <c r="F18" s="5" t="inlineStr">
        <is>
          <t>POST /v1/alerts → 429
GET /v1/alerts → 429
POST /v1/alerts → 401
GET /v1/alerts → 401</t>
        </is>
      </c>
      <c r="G18" s="5">
        <f>IF(F18="",0,LEN(F18)-LEN(SUBSTITUTE(F18,CHAR(10),""))+1)</f>
        <v/>
      </c>
      <c r="H18" s="5" t="n"/>
    </row>
    <row r="19">
      <c r="A19" s="5" t="inlineStr">
        <is>
          <t>ALT-18</t>
        </is>
      </c>
      <c r="B19" s="5" t="inlineStr">
        <is>
          <t>A vendor extension and an implementer alert type survive the round-trip</t>
        </is>
      </c>
      <c r="C19" s="5" t="inlineStr">
        <is>
          <t>edge</t>
        </is>
      </c>
      <c r="D19" s="5" t="inlineStr">
        <is>
          <t>APX-CORE-04, APX-ALT-03</t>
        </is>
      </c>
      <c r="E19" s="5" t="inlineStr">
        <is>
          <t>Given the POS vendor decorates a paymentException with its own apds-ext:acmepos:reversal@1.0 block, and the operator's own code list defines elevatorEntrapment, which is in nobody's registry. When the first is raised and acknowledged, and the second is raised. Then the extension key comes back byte-for-byte on the 201 and again after the acknowledge (tolerant reader, faithful writer), and the open taxonomy accepts the implementer type with 201.</t>
        </is>
      </c>
      <c r="F19" s="5" t="inlineStr">
        <is>
          <t>POST /v1/alerts → 201
POST /v1/alerts/e7000000-0000-4000-8000-000000000710/acknowledge → 200
POST /v1/alerts → 201</t>
        </is>
      </c>
      <c r="G19" s="5">
        <f>IF(F19="",0,LEN(F19)-LEN(SUBSTITUTE(F19,CHAR(10),""))+1)</f>
        <v/>
      </c>
      <c r="H19" s="5" t="n"/>
    </row>
    <row r="20">
      <c r="A20" s="5" t="inlineStr">
        <is>
          <t>ALT-19</t>
        </is>
      </c>
      <c r="B20" s="5" t="inlineStr">
        <is>
          <t>A client-supplied id, and the collision</t>
        </is>
      </c>
      <c r="C20" s="5" t="inlineStr">
        <is>
          <t>edge</t>
        </is>
      </c>
      <c r="D20" s="5" t="inlineStr">
        <is>
          <t>APX-CORE-03, APX-ALT-02</t>
        </is>
      </c>
      <c r="E20" s="5" t="inlineStr">
        <is>
          <t>Given a building-management system mints its own UUIDs (APDS convention, Part 4 §4.1). When it raises with id set, and a second integration later reuses that id under a fresh idempotency key for a different alert. Then 201 echoing the supplied id, then 409 id-collision — not idempotency-conflict, because the key is new. Part 7 §7.1 and the Alert.id description now say a client MAY supply the id on raise, and the 409 on POST /v1/alerts names id-collision (F-ALT-07 fixed in prose; readOnly stays, as the server's authority over the value).</t>
        </is>
      </c>
      <c r="F20" s="5" t="inlineStr">
        <is>
          <t>POST /v1/alerts → 201
POST /v1/alerts → 409</t>
        </is>
      </c>
      <c r="G20" s="5">
        <f>IF(F20="",0,LEN(F20)-LEN(SUBSTITUTE(F20,CHAR(10),""))+1)</f>
        <v/>
      </c>
      <c r="H20" s="5" t="n"/>
    </row>
    <row r="21">
      <c r="A21" s="5" t="inlineStr">
        <is>
          <t>ALT-20</t>
        </is>
      </c>
      <c r="B21" s="5" t="inlineStr">
        <is>
          <t>Acknowledge with a note, on behalf of a named agent</t>
        </is>
      </c>
      <c r="C21" s="5" t="inlineStr">
        <is>
          <t>edge</t>
        </is>
      </c>
      <c r="D21" s="5" t="inlineStr">
        <is>
          <t>APX-ALT-01</t>
        </is>
      </c>
      <c r="E21" s="5" t="inlineStr">
        <is>
          <t>Given the agent acknowledging the exit-gate fault wants the audit trail to say a tech is on the way — exactly what the public scenario 02 shows as detail: "field tech dispatched". When the shared console sends an AlertTransition body with that note and the agent's principal. Then the appended history entry carries both (Part 7 §7.2; F-ALT-04 fixed). A body the schema refuses is 400 invalid-request.</t>
        </is>
      </c>
      <c r="F21" s="5" t="inlineStr">
        <is>
          <t>POST /v1/alerts/e7000000-0000-4000-8000-000000000706/acknowledge → 200</t>
        </is>
      </c>
      <c r="G21" s="5">
        <f>IF(F21="",0,LEN(F21)-LEN(SUBSTITUTE(F21,CHAR(10),""))+1)</f>
        <v/>
      </c>
      <c r="H21" s="5" t="n"/>
    </row>
    <row r="22">
      <c r="A22" s="5" t="inlineStr">
        <is>
          <t>ALT-21</t>
        </is>
      </c>
      <c r="B22" s="5" t="inlineStr">
        <is>
          <t>Everything about one device, everything about one subscription</t>
        </is>
      </c>
      <c r="C22" s="5" t="inlineStr">
        <is>
          <t>happy</t>
        </is>
      </c>
      <c r="D22" s="5" t="inlineStr">
        <is>
          <t>APX-ALT-03</t>
        </is>
      </c>
      <c r="E22" s="5" t="inlineStr">
        <is>
          <t>Given a technician standing at the exit-lane intercom, and an integrations engineer chasing the dead webhook from ALT-14. When the technician lists the alerts whose source.device is the intercom, and the engineer lists the alerts whose relatedEntity is the subscription. Then each gets exactly its own alerts, without paging the whole place (Part 7 §7.2; F-ALT-06 fixed).</t>
        </is>
      </c>
      <c r="F22" s="5" t="inlineStr">
        <is>
          <t>GET /v1/alerts → 200
GET /v1/alerts → 200</t>
        </is>
      </c>
      <c r="G22" s="5">
        <f>IF(F22="",0,LEN(F22)-LEN(SUBSTITUTE(F22,CHAR(10),""))+1)</f>
        <v/>
      </c>
      <c r="H22" s="5" t="n"/>
    </row>
    <row r="23">
      <c r="A23" s="5" t="inlineStr">
        <is>
          <t>ALT-22</t>
        </is>
      </c>
      <c r="B23" s="5" t="inlineStr">
        <is>
          <t>The shared refusals on the id-addressed Alerts routes</t>
        </is>
      </c>
      <c r="C23" s="5" t="inlineStr">
        <is>
          <t>security</t>
        </is>
      </c>
      <c r="D23" s="5" t="inlineStr">
        <is>
          <t>APX-CORE-05, APX-CORE-07, APX-ALT-01</t>
        </is>
      </c>
      <c r="E23" s="5" t="inlineStr">
        <is>
          <t>Given a console with a transition body bug, a read-only wallboard, a tight polling loop, and an expired token. When each hits the read and transition routes. Then 400 invalid-request with errors[], 403 insufficient-scope, 429 rate-limited, and 401 unauthenticated, each declared on the route (Part 12 §12.3).</t>
        </is>
      </c>
      <c r="F23" s="5" t="inlineStr">
        <is>
          <t>POST /v1/alerts/e7000000-0000-4000-8000-000000000702/acknowledge → 400
POST /v1/alerts/e7000000-0000-4000-8000-000000000703/resolve → 400
POST /v1/alerts/e7000000-0000-4000-8000-000000000706/resolve → 403
GET /v1/alerts/e7000000-0000-4000-8000-000000000706 → 429
POST /v1/alerts/e7000000-0000-4000-8000-000000000706/acknowledge → 429
POST /v1/alerts/e7000000-0000-4000-8000-000000000706/resolve → 429
GET /v1/alerts/e7000000-0000-4000-8000-000000000706 → 401
POST /v1/alerts/e7000000-0000-4000-8000-000000000706/acknowledge → 401
POST /v1/alerts/e7000000-0000-4000-8000-000000000706/resolve → 401</t>
        </is>
      </c>
      <c r="G23" s="5">
        <f>IF(F23="",0,LEN(F23)-LEN(SUBSTITUTE(F23,CHAR(10),""))+1)</f>
        <v/>
      </c>
      <c r="H23" s="5" t="n"/>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4" customWidth="1" min="2" max="2"/>
    <col width="11" customWidth="1" min="3" max="3"/>
    <col width="26" customWidth="1" min="4" max="4"/>
    <col width="90" customWidth="1" min="5" max="5"/>
    <col width="52" customWidth="1" min="6" max="6"/>
    <col width="10" customWidth="1" min="7" max="7"/>
    <col width="14" customWidth="1" min="8" max="8"/>
  </cols>
  <sheetData>
    <row r="1">
      <c r="A1" s="3" t="inlineStr">
        <is>
          <t>ID</t>
        </is>
      </c>
      <c r="B1" s="3" t="inlineStr">
        <is>
          <t>Title</t>
        </is>
      </c>
      <c r="C1" s="3" t="inlineStr">
        <is>
          <t>Kind</t>
        </is>
      </c>
      <c r="D1" s="3" t="inlineStr">
        <is>
          <t>Annex A rows</t>
        </is>
      </c>
      <c r="E1" s="3" t="inlineStr">
        <is>
          <t>Scenario (Given / When / Then)</t>
        </is>
      </c>
      <c r="F1" s="3" t="inlineStr">
        <is>
          <t>Exchanges (request → status)</t>
        </is>
      </c>
      <c r="G1" s="3" t="inlineStr">
        <is>
          <t>Exchange count</t>
        </is>
      </c>
      <c r="H1" s="3" t="inlineStr">
        <is>
          <t>Open spec gap</t>
        </is>
      </c>
    </row>
    <row r="2">
      <c r="A2" s="5" t="inlineStr">
        <is>
          <t>CTL-01</t>
        </is>
      </c>
      <c r="B2" s="5" t="inlineStr">
        <is>
          <t>Vend the exit gate for a customer, confirmed by the sensor</t>
        </is>
      </c>
      <c r="C2" s="5" t="inlineStr">
        <is>
          <t>happy</t>
        </is>
      </c>
      <c r="D2" s="5" t="inlineStr">
        <is>
          <t>APX-CTL-01, APX-CTL-03, APX-CTL-05, APX-CTL-06</t>
        </is>
      </c>
      <c r="E2" s="5" t="inlineStr">
        <is>
          <t>Given a driver at exit lane 2 whose ticket was resolved on the phone. When the agent vends the gate with an idempotency key, a reason, and a two-minute expiry. Then the server answers 202 with the command in accepted, and polling shows the full audit trail through succeeded with physicallyConfirmed, so the agent may say "the gate is open".</t>
        </is>
      </c>
      <c r="F2" s="5" t="inlineStr">
        <is>
          <t>POST /v1/commands → 202
GET /v1/commands/d1000000-0000-4000-8000-000000000101 → 200</t>
        </is>
      </c>
      <c r="G2" s="5">
        <f>IF(F2="",0,LEN(F2)-LEN(SUBSTITUTE(F2,CHAR(10),""))+1)</f>
        <v/>
      </c>
      <c r="H2" s="5" t="inlineStr"/>
    </row>
    <row r="3">
      <c r="A3" s="5" t="inlineStr">
        <is>
          <t>CTL-02</t>
        </is>
      </c>
      <c r="B3" s="5" t="inlineStr">
        <is>
          <t>The console retries after a timeout: same key, same body</t>
        </is>
      </c>
      <c r="C3" s="5" t="inlineStr">
        <is>
          <t>edge</t>
        </is>
      </c>
      <c r="D3" s="5" t="inlineStr">
        <is>
          <t>APX-CTL-01</t>
        </is>
      </c>
      <c r="E3" s="5" t="inlineStr">
        <is>
          <t>Given the 202 from CTL-01 never reached the console (network blip). When the console retries with the identical key and body. Then the server returns 200 with the ORIGINAL command, whatever state it has reached since; no second vend is issued. Polling an id that never existed is a 404.</t>
        </is>
      </c>
      <c r="F3" s="5" t="inlineStr">
        <is>
          <t>POST /v1/commands → 200
GET /v1/commands/d1000000-0000-4000-8000-0000000000ff → 404</t>
        </is>
      </c>
      <c r="G3" s="5">
        <f>IF(F3="",0,LEN(F3)-LEN(SUBSTITUTE(F3,CHAR(10),""))+1)</f>
        <v/>
      </c>
      <c r="H3" s="5" t="inlineStr"/>
    </row>
    <row r="4">
      <c r="A4" s="5" t="inlineStr">
        <is>
          <t>CTL-03</t>
        </is>
      </c>
      <c r="B4" s="5" t="inlineStr">
        <is>
          <t>Same key reused for a different lane</t>
        </is>
      </c>
      <c r="C4" s="5" t="inlineStr">
        <is>
          <t>refusal</t>
        </is>
      </c>
      <c r="D4" s="5" t="inlineStr">
        <is>
          <t>APX-CTL-01, APX-CORE-05</t>
        </is>
      </c>
      <c r="E4" s="5" t="inlineStr">
        <is>
          <t>Given a console bug reuses cc-7710-vend for a vend at the entry lane. When the body differs from the stored one. Then 409 idempotency-conflict; nothing is executed.</t>
        </is>
      </c>
      <c r="F4" s="5" t="inlineStr">
        <is>
          <t>POST /v1/commands → 409</t>
        </is>
      </c>
      <c r="G4" s="5">
        <f>IF(F4="",0,LEN(F4)-LEN(SUBSTITUTE(F4,CHAR(10),""))+1)</f>
        <v/>
      </c>
      <c r="H4" s="5" t="inlineStr"/>
    </row>
    <row r="5">
      <c r="A5" s="5" t="inlineStr">
        <is>
          <t>CTL-04</t>
        </is>
      </c>
      <c r="B5" s="5" t="inlineStr">
        <is>
          <t>Malformed requests: no key, unknown type, throttled</t>
        </is>
      </c>
      <c r="C5" s="5" t="inlineStr">
        <is>
          <t>refusal</t>
        </is>
      </c>
      <c r="D5" s="5" t="inlineStr">
        <is>
          <t>APX-CTL-01, APX-CORE-05</t>
        </is>
      </c>
      <c r="E5" s="5" t="inlineStr">
        <is>
          <t>Given three broken clients. When one omits Idempotency-Key, one sends a commandType that is in nobody's registry, and one exceeds the rate limit. Then each is refused with a registered problem type: the unknown type is invalid-request (Part 6 §6.1, Part 12 §12.4; F-CTL-01 fixed).</t>
        </is>
      </c>
      <c r="F5" s="5" t="inlineStr">
        <is>
          <t>POST /v1/commands → 400
POST /v1/commands → 400
POST /v1/commands → 429</t>
        </is>
      </c>
      <c r="G5" s="5">
        <f>IF(F5="",0,LEN(F5)-LEN(SUBSTITUTE(F5,CHAR(10),""))+1)</f>
        <v/>
      </c>
      <c r="H5" s="5" t="inlineStr"/>
    </row>
    <row r="6">
      <c r="A6" s="5" t="inlineStr">
        <is>
          <t>CTL-05</t>
        </is>
      </c>
      <c r="B6" s="5" t="inlineStr">
        <is>
          <t>Perishable: the PARCS link is down for three minutes</t>
        </is>
      </c>
      <c r="C6" s="5" t="inlineStr">
        <is>
          <t>lifecycle</t>
        </is>
      </c>
      <c r="D6" s="5" t="inlineStr">
        <is>
          <t>APX-CTL-02, APX-CTL-03</t>
        </is>
      </c>
      <c r="E6" s="5" t="inlineStr">
        <is>
          <t>Given the operator's link to the lane controller drops right after a vend is accepted with a 30-second expiry. When the link recovers three minutes later. Then the command has transitioned to expired, the history says why, and the gate did NOT open for whoever is in the lane now. A command submitted with an expiry already in the past is refused synchronously with 422 command-expired.</t>
        </is>
      </c>
      <c r="F6" s="5" t="inlineStr">
        <is>
          <t>POST /v1/commands → 202
GET /v1/commands/d1000000-0000-4000-8000-000000000102 → 200
POST /v1/commands → 422</t>
        </is>
      </c>
      <c r="G6" s="5">
        <f>IF(F6="",0,LEN(F6)-LEN(SUBSTITUTE(F6,CHAR(10),""))+1)</f>
        <v/>
      </c>
      <c r="H6" s="5" t="inlineStr"/>
    </row>
    <row r="7">
      <c r="A7" s="5" t="inlineStr">
        <is>
          <t>CTL-06</t>
        </is>
      </c>
      <c r="B7" s="5" t="inlineStr">
        <is>
          <t>Cancel a hold-open that was issued by mistake</t>
        </is>
      </c>
      <c r="C7" s="5" t="inlineStr">
        <is>
          <t>lifecycle</t>
        </is>
      </c>
      <c r="D7" s="5" t="inlineStr">
        <is>
          <t>APX-CTL-04, APX-CTL-03</t>
        </is>
      </c>
      <c r="E7" s="5" t="inlineStr">
        <is>
          <t>Given a supervisor issued holdGateOpen on the wrong lane. When they cancel it while it is still accepted. Then 200 with the command in cancelled, a new history entry naming who cancelled, and the gate never held.</t>
        </is>
      </c>
      <c r="F7" s="5" t="inlineStr">
        <is>
          <t>POST /v1/commands → 202
POST /v1/commands/d1000000-0000-4000-8000-000000000103/cancel → 200</t>
        </is>
      </c>
      <c r="G7" s="5">
        <f>IF(F7="",0,LEN(F7)-LEN(SUBSTITUTE(F7,CHAR(10),""))+1)</f>
        <v/>
      </c>
      <c r="H7" s="5" t="inlineStr"/>
    </row>
    <row r="8">
      <c r="A8" s="5" t="inlineStr">
        <is>
          <t>CTL-07</t>
        </is>
      </c>
      <c r="B8" s="5" t="inlineStr">
        <is>
          <t>Cancel arrives after dispatch</t>
        </is>
      </c>
      <c r="C8" s="5" t="inlineStr">
        <is>
          <t>refusal</t>
        </is>
      </c>
      <c r="D8" s="5" t="inlineStr">
        <is>
          <t>APX-CTL-04</t>
        </is>
      </c>
      <c r="E8" s="5" t="inlineStr">
        <is>
          <t>Given the vend from CTL-01 already reached the device. When a cancel is requested. Then 409 command-not-cancellable and the command's state is unchanged. Cancelling an id that does not exist has no declared response (F-CTL-06).</t>
        </is>
      </c>
      <c r="F8" s="5" t="inlineStr">
        <is>
          <t>POST /v1/commands/d1000000-0000-4000-8000-000000000101/cancel → 409
POST /v1/commands/d1000000-0000-4000-8000-0000000000ff/cancel → 404</t>
        </is>
      </c>
      <c r="G8" s="5">
        <f>IF(F8="",0,LEN(F8)-LEN(SUBSTITUTE(F8,CHAR(10),""))+1)</f>
        <v/>
      </c>
      <c r="H8" s="5" t="inlineStr"/>
    </row>
    <row r="9">
      <c r="A9" s="5" t="inlineStr">
        <is>
          <t>CTL-08</t>
        </is>
      </c>
      <c r="B9" s="5" t="inlineStr">
        <is>
          <t>The device says no: rejected, and failed</t>
        </is>
      </c>
      <c r="C9" s="5" t="inlineStr">
        <is>
          <t>lifecycle</t>
        </is>
      </c>
      <c r="D9" s="5" t="inlineStr">
        <is>
          <t>APX-CTL-03, APX-CTL-05</t>
        </is>
      </c>
      <c r="E9" s="5" t="inlineStr">
        <is>
          <t>Given the exit gate is in fault. When an agent vends it. Then the PARCS rejects the command (rejected, with the reason in the history). Later the fault clears, a second vend is dispatched, and the barrier motor times out: failed. In neither case is confirmationLevel above deviceAcknowledged, so an AI agent must tell the customer the vend was requested, not that the gate opened.</t>
        </is>
      </c>
      <c r="F9" s="5" t="inlineStr">
        <is>
          <t>POST /v1/commands → 202
GET /v1/commands/d1000000-0000-4000-8000-000000000104 → 200
POST /v1/commands → 202
GET /v1/commands/d1000000-0000-4000-8000-000000000105 → 200</t>
        </is>
      </c>
      <c r="G9" s="5">
        <f>IF(F9="",0,LEN(F9)-LEN(SUBSTITUTE(F9,CHAR(10),""))+1)</f>
        <v/>
      </c>
      <c r="H9" s="5" t="inlineStr"/>
    </row>
    <row r="10">
      <c r="A10" s="5" t="inlineStr">
        <is>
          <t>CTL-09</t>
        </is>
      </c>
      <c r="B10" s="5" t="inlineStr">
        <is>
          <t>Lost ticket at the exit, fee from the deck</t>
        </is>
      </c>
      <c r="C10" s="5" t="inlineStr">
        <is>
          <t>happy</t>
        </is>
      </c>
      <c r="D10" s="5" t="inlineStr">
        <is>
          <t>APX-CTL-06, APX-CTL-08, APX-CTL-14</t>
        </is>
      </c>
      <c r="E10" s="5" t="inlineStr">
        <is>
          <t>Given a driver at lane 2 with no ticket and no match candidates. When the agent issues lostTicket with the operator's method code. Then the command succeeds with a result naming the issued ticket, its session, and the fee (Part 6 §6.1a; F-CTL-02 fixed), and the lane inquiry shows the same ticket with amountDue equal to the deck's lostTicketFee line.</t>
        </is>
      </c>
      <c r="F10" s="5" t="inlineStr">
        <is>
          <t>GET /v1/lanes/b2000000-0000-4000-8000-000000000002/current → 200
POST /v1/commands → 202
GET /v1/commands/d1000000-0000-4000-8000-000000000106 → 200
GET /v1/lanes/b2000000-0000-4000-8000-000000000002/current → 200</t>
        </is>
      </c>
      <c r="G10" s="5">
        <f>IF(F10="",0,LEN(F10)-LEN(SUBSTITUTE(F10,CHAR(10),""))+1)</f>
        <v/>
      </c>
      <c r="H10" s="5" t="inlineStr"/>
    </row>
    <row r="11">
      <c r="A11" s="5" t="inlineStr">
        <is>
          <t>CTL-10</t>
        </is>
      </c>
      <c r="B11" s="5" t="inlineStr">
        <is>
          <t>Lost ticket, but the deck has no lostTicketFee line</t>
        </is>
      </c>
      <c r="C11" s="5" t="inlineStr">
        <is>
          <t>refusal</t>
        </is>
      </c>
      <c r="D11" s="5" t="inlineStr">
        <is>
          <t>APX-CTL-08</t>
        </is>
      </c>
      <c r="E11" s="5" t="inlineStr">
        <is>
          <t>Given the deck in force was pushed without a lostTicketFee line. When an agent issues lostTicket. Then the server refuses the POST synchronously with 422 lost-ticket-fee-undefined and creates no command: the deck is server-side state it can check before accepting (Part 6 §6.1; F-CTL-03 fixed).</t>
        </is>
      </c>
      <c r="F11" s="5" t="inlineStr">
        <is>
          <t>POST /v1/commands → 422</t>
        </is>
      </c>
      <c r="G11" s="5">
        <f>IF(F11="",0,LEN(F11)-LEN(SUBSTITUTE(F11,CHAR(10),""))+1)</f>
        <v/>
      </c>
      <c r="H11" s="5" t="inlineStr"/>
    </row>
    <row r="12">
      <c r="A12" s="5" t="inlineStr">
        <is>
          <t>CTL-11</t>
        </is>
      </c>
      <c r="B12" s="5" t="inlineStr">
        <is>
          <t>Apply a cinema validation and watch the amount fall</t>
        </is>
      </c>
      <c r="C12" s="5" t="inlineStr">
        <is>
          <t>happy</t>
        </is>
      </c>
      <c r="D12" s="5" t="inlineStr">
        <is>
          <t>APX-CTL-06, APX-CTL-07</t>
        </is>
      </c>
      <c r="E12" s="5" t="inlineStr">
        <is>
          <t>Given ticket T-1001 owes $9.00 at lane 2 and the driver saw a film. When the agent lists the place's providers, sees the cinema's benefit, and applies it. Then the lane's currentTicket.validations gains an entry with the actual amountReduced, and amountDue drops.</t>
        </is>
      </c>
      <c r="F12" s="5" t="inlineStr">
        <is>
          <t>GET /v1/validations/providers → 200
POST /v1/commands → 202
GET /v1/lanes/b2000000-0000-4000-8000-000000000002/current → 200</t>
        </is>
      </c>
      <c r="G12" s="5">
        <f>IF(F12="",0,LEN(F12)-LEN(SUBSTITUTE(F12,CHAR(10),""))+1)</f>
        <v/>
      </c>
      <c r="H12" s="5" t="inlineStr"/>
    </row>
    <row r="13">
      <c r="A13" s="5" t="inlineStr">
        <is>
          <t>CTL-12</t>
        </is>
      </c>
      <c r="B13" s="5" t="inlineStr">
        <is>
          <t>A provider from the other garage</t>
        </is>
      </c>
      <c r="C13" s="5" t="inlineStr">
        <is>
          <t>refusal</t>
        </is>
      </c>
      <c r="D13" s="5" t="inlineStr">
        <is>
          <t>APX-CTL-07</t>
        </is>
      </c>
      <c r="E13" s="5" t="inlineStr">
        <is>
          <t>Given Harbor Deck's hotel validates at Harbor Deck, not at Lakeside. When an agent applies it at Lakeside lane 2. Then 422 validation-provider-unknown; the provider list is authoritative.</t>
        </is>
      </c>
      <c r="F13" s="5" t="inlineStr">
        <is>
          <t>POST /v1/commands → 422</t>
        </is>
      </c>
      <c r="G13" s="5">
        <f>IF(F13="",0,LEN(F13)-LEN(SUBSTITUTE(F13,CHAR(10),""))+1)</f>
        <v/>
      </c>
      <c r="H13" s="5" t="inlineStr"/>
    </row>
    <row r="14">
      <c r="A14" s="5" t="inlineStr">
        <is>
          <t>CTL-13</t>
        </is>
      </c>
      <c r="B14" s="5" t="inlineStr">
        <is>
          <t>Supervisor corrects the deck with pushRate</t>
        </is>
      </c>
      <c r="C14" s="5" t="inlineStr">
        <is>
          <t>happy</t>
        </is>
      </c>
      <c r="D14" s="5" t="inlineStr">
        <is>
          <t>APX-CTL-06</t>
        </is>
      </c>
      <c r="E14" s="5" t="inlineStr">
        <is>
          <t>Given the evening rate on the deck is wrong and the resolution context said pushRate requires supervisor approval. When the agent pushes rate table v8 with approval evidence. Then 202; the whole lane now prices from v8. This is the deck-level correction, unlike CTL-19.</t>
        </is>
      </c>
      <c r="F14" s="5" t="inlineStr">
        <is>
          <t>POST /v1/commands → 202</t>
        </is>
      </c>
      <c r="G14" s="5">
        <f>IF(F14="",0,LEN(F14)-LEN(SUBSTITUTE(F14,CHAR(10),""))+1)</f>
        <v/>
      </c>
      <c r="H14" s="5" t="inlineStr"/>
    </row>
    <row r="15">
      <c r="A15" s="5" t="inlineStr">
        <is>
          <t>CTL-14</t>
        </is>
      </c>
      <c r="B15" s="5" t="inlineStr">
        <is>
          <t>Wrong scope, wrong grant, no grant, dead token</t>
        </is>
      </c>
      <c r="C15" s="5" t="inlineStr">
        <is>
          <t>security</t>
        </is>
      </c>
      <c r="D15" s="5" t="inlineStr">
        <is>
          <t>APX-CORE-06, APX-CORE-07, APX-CORE-08</t>
        </is>
      </c>
      <c r="E15" s="5" t="inlineStr">
        <is>
          <t>Given five tokens. When a read-only token posts a command; an execute token targets Harbor Deck's lane; a token with no apx_places claim targets Lakeside; an expired token posts a command; and a BI token with only apx.data:read reads devices and providers. Then 403 insufficient-scope, 403 insufficient-grant, 403 insufficient-grant (fail-closed), 401, and two more 403s. Part 12 registers no problem type for 401 (F-CTL-07).</t>
        </is>
      </c>
      <c r="F15" s="5" t="inlineStr">
        <is>
          <t>POST /v1/commands → 403
POST /v1/commands → 403
POST /v1/commands → 403
POST /v1/commands → 401
GET /v1/devices → 403
GET /v1/validations/providers → 403</t>
        </is>
      </c>
      <c r="G15" s="5">
        <f>IF(F15="",0,LEN(F15)-LEN(SUBSTITUTE(F15,CHAR(10),""))+1)</f>
        <v/>
      </c>
      <c r="H15" s="5" t="inlineStr"/>
    </row>
    <row r="16">
      <c r="A16" s="5" t="inlineStr">
        <is>
          <t>CTL-15</t>
        </is>
      </c>
      <c r="B16" s="5" t="inlineStr">
        <is>
          <t>The policy layer gates the command plane</t>
        </is>
      </c>
      <c r="C16" s="5" t="inlineStr">
        <is>
          <t>security</t>
        </is>
      </c>
      <c r="D16" s="5" t="inlineStr">
        <is>
          <t>APX-CTL-01</t>
        </is>
      </c>
      <c r="E16" s="5" t="inlineStr">
        <is>
          <t>Given a resolution context for a monthly parker where policy says vendGate requires supervisor approval and courtesyExit is not allowed (courtesy limit reached). When the agent vends without approval, then with it, then tries a courtesy exit. Then 403 approval-required, 202, and 403 action-not-allowed. Enforcement is server-side; the agent never decides permissibility.</t>
        </is>
      </c>
      <c r="F16" s="5" t="inlineStr">
        <is>
          <t>POST /v1/commands → 403
POST /v1/commands → 202
POST /v1/commands → 403</t>
        </is>
      </c>
      <c r="G16" s="5">
        <f>IF(F16="",0,LEN(F16)-LEN(SUBSTITUTE(F16,CHAR(10),""))+1)</f>
        <v/>
      </c>
      <c r="H16" s="5" t="inlineStr"/>
    </row>
    <row r="17">
      <c r="A17" s="5" t="inlineStr">
        <is>
          <t>CTL-16</t>
        </is>
      </c>
      <c r="B17" s="5" t="inlineStr">
        <is>
          <t>Device inventory: list, read, unknown, and filtered by place and state</t>
        </is>
      </c>
      <c r="C17" s="5" t="inlineStr">
        <is>
          <t>happy</t>
        </is>
      </c>
      <c r="D17" s="5" t="inlineStr">
        <is>
          <t>APX-CTL-06, APX-CTL-13</t>
        </is>
      </c>
      <c r="E17" s="5" t="inlineStr">
        <is>
          <t>Given an operations dashboard. When it lists devices, reads one, reads a bad id, then narrows the list to Lakeside, to Lakeside's faults, and tries Harbor Deck. Then a paginated list, a DeviceStatus, 404, two filtered lists, and 403 insufficient-grant (Part 6 §6.4; F-CTL-04 fixed).</t>
        </is>
      </c>
      <c r="F17" s="5" t="inlineStr">
        <is>
          <t>GET /v1/devices → 200
GET /v1/devices/c1000000-0000-4000-8000-000000000003 → 200
GET /v1/devices/c1000000-0000-4000-8000-0000000000ff → 404
GET /v1/devices → 200
GET /v1/devices → 200
GET /v1/devices → 403</t>
        </is>
      </c>
      <c r="G17" s="5">
        <f>IF(F17="",0,LEN(F17)-LEN(SUBSTITUTE(F17,CHAR(10),""))+1)</f>
        <v/>
      </c>
      <c r="H17" s="5" t="inlineStr"/>
    </row>
    <row r="18">
      <c r="A18" s="5" t="inlineStr">
        <is>
          <t>CTL-17</t>
        </is>
      </c>
      <c r="B18" s="5" t="inlineStr">
        <is>
          <t>Take a pay station out of service, tell the lane, reboot it</t>
        </is>
      </c>
      <c r="C18" s="5" t="inlineStr">
        <is>
          <t>happy</t>
        </is>
      </c>
      <c r="D18" s="5" t="inlineStr">
        <is>
          <t>APX-CTL-06, APX-CTL-03</t>
        </is>
      </c>
      <c r="E18" s="5" t="inlineStr">
        <is>
          <t>Given pay station 3 is faulting. When the tech marks it outOfService, posts a bilingual message on the lane display, and reboots the station. Then three commands, and the device overlay reads outOfService with a new stateChangedTime.</t>
        </is>
      </c>
      <c r="F18" s="5" t="inlineStr">
        <is>
          <t>POST /v1/commands → 202
POST /v1/commands → 202
POST /v1/commands → 202
GET /v1/devices/c1000000-0000-4000-8000-000000000003 → 200</t>
        </is>
      </c>
      <c r="G18" s="5">
        <f>IF(F18="",0,LEN(F18)-LEN(SUBSTITUTE(F18,CHAR(10),""))+1)</f>
        <v/>
      </c>
      <c r="H18" s="5" t="inlineStr"/>
    </row>
    <row r="19">
      <c r="A19" s="5" t="inlineStr">
        <is>
          <t>CTL-18</t>
        </is>
      </c>
      <c r="B19" s="5" t="inlineStr">
        <is>
          <t>Screen-pop with a denied monthly card, and an unknown lane</t>
        </is>
      </c>
      <c r="C19" s="5" t="inlineStr">
        <is>
          <t>happy</t>
        </is>
      </c>
      <c r="D19" s="5" t="inlineStr">
        <is>
          <t>APX-CTL-06</t>
        </is>
      </c>
      <c r="E19" s="5" t="inlineStr">
        <is>
          <t>Given a monthly parker whose card was refused. When the console asks for the lane. Then the ticket, the plate read, and the credential context with the denial reason and recent events, in one call. A lane id that does not exist is 404.</t>
        </is>
      </c>
      <c r="F19" s="5" t="inlineStr">
        <is>
          <t>GET /v1/lanes/b2000000-0000-4000-8000-000000000002/current → 200
GET /v1/lanes/b2000000-0000-4000-8000-00000000dead/current → 404</t>
        </is>
      </c>
      <c r="G19" s="5">
        <f>IF(F19="",0,LEN(F19)-LEN(SUBSTITUTE(F19,CHAR(10),""))+1)</f>
        <v/>
      </c>
      <c r="H19" s="5" t="inlineStr"/>
    </row>
    <row r="20">
      <c r="A20" s="5" t="inlineStr">
        <is>
          <t>CTL-19</t>
        </is>
      </c>
      <c r="B20" s="5" t="inlineStr">
        <is>
          <t>Negotiated rate: selected from the deck, refused when unflagged</t>
        </is>
      </c>
      <c r="C20" s="5" t="inlineStr">
        <is>
          <t>happy</t>
        </is>
      </c>
      <c r="D20" s="5" t="inlineStr">
        <is>
          <t>APX-CTL-09, APX-CTL-10</t>
        </is>
      </c>
      <c r="E20" s="5" t="inlineStr">
        <is>
          <t>Given the mirrored deck flags d5…0002 as negotiable and d5…0003 not. When the agent applies the flat $20 to the car in lane 2. Then 202, and the lane shows negotiatedRate naming the table version, the command, and the agent. The event table is refused with 422; a request without agent is refused with 400; an empty lane with 409.</t>
        </is>
      </c>
      <c r="F20" s="5" t="inlineStr">
        <is>
          <t>POST /v1/commands → 202
GET /v1/lanes/b2000000-0000-4000-8000-000000000002/current → 200
POST /v1/commands → 422
POST /v1/commands → 400
POST /v1/commands → 409</t>
        </is>
      </c>
      <c r="G20" s="5">
        <f>IF(F20="",0,LEN(F20)-LEN(SUBSTITUTE(F20,CHAR(10),""))+1)</f>
        <v/>
      </c>
      <c r="H20" s="5" t="inlineStr"/>
    </row>
    <row r="21">
      <c r="A21" s="5" t="inlineStr">
        <is>
          <t>CTL-20</t>
        </is>
      </c>
      <c r="B21" s="5" t="inlineStr">
        <is>
          <t>Ticket matching by a named card, and what it refuses</t>
        </is>
      </c>
      <c r="C21" s="5" t="inlineStr">
        <is>
          <t>happy</t>
        </is>
      </c>
      <c r="D21" s="5" t="inlineStr">
        <is>
          <t>APX-CTL-11, APX-CTL-12</t>
        </is>
      </c>
      <c r="E21" s="5" t="inlineStr">
        <is>
          <t>Given a monthly holder at lane 2 whose card will not read; he reads the card number to the agent. When the agent passes it as a lookup key, confirms, and matches. Then a credential candidate, a 202 matchTicket, and the lane shows matchedCommand. Matching a session that closed an hour ago is 422; matching at an empty lane is 409.</t>
        </is>
      </c>
      <c r="F21" s="5" t="inlineStr">
        <is>
          <t>GET /v1/lanes/b2000000-0000-4000-8000-000000000002/current → 200
POST /v1/commands → 202
GET /v1/lanes/b2000000-0000-4000-8000-000000000002/current → 200
POST /v1/commands → 422
POST /v1/commands → 409</t>
        </is>
      </c>
      <c r="G21" s="5">
        <f>IF(F21="",0,LEN(F21)-LEN(SUBSTITUTE(F21,CHAR(10),""))+1)</f>
        <v/>
      </c>
      <c r="H21" s="5" t="inlineStr"/>
    </row>
    <row r="22">
      <c r="A22" s="5" t="inlineStr">
        <is>
          <t>CTL-21</t>
        </is>
      </c>
      <c r="B22" s="5" t="inlineStr">
        <is>
          <t>Anti-passback corrections and a tracked courtesy exit</t>
        </is>
      </c>
      <c r="C22" s="5" t="inlineStr">
        <is>
          <t>happy</t>
        </is>
      </c>
      <c r="D22" s="5" t="inlineStr">
        <is>
          <t>APX-CTL-03</t>
        </is>
      </c>
      <c r="E22" s="5" t="inlineStr">
        <is>
          <t>Given a monthly card stuck "inside" after a tailgate exit, a holder who walked out on foot, and a holder whose entry was never recorded because the reader was down. When the agent resets passback for the first, forces the second to "outside", forces the third to "inside", and later vends a courtesy exit for a fourth holder whose card is being replaced. Then four 202s. The parameters are the ones Part 6 §6.1 now lists: credential for the three passback corrections and holder for the courtesy exit (F-CTL-05 fixed).</t>
        </is>
      </c>
      <c r="F22" s="5" t="inlineStr">
        <is>
          <t>POST /v1/commands → 202
POST /v1/commands → 202
POST /v1/commands → 202
POST /v1/commands → 202</t>
        </is>
      </c>
      <c r="G22" s="5">
        <f>IF(F22="",0,LEN(F22)-LEN(SUBSTITUTE(F22,CHAR(10),""))+1)</f>
        <v/>
      </c>
      <c r="H22" s="5" t="inlineStr"/>
    </row>
    <row r="23">
      <c r="A23" s="5" t="inlineStr">
        <is>
          <t>CTL-22</t>
        </is>
      </c>
      <c r="B23" s="5" t="inlineStr">
        <is>
          <t>Event egress: hold the exit open, then close the lane</t>
        </is>
      </c>
      <c r="C23" s="5" t="inlineStr">
        <is>
          <t>lifecycle</t>
        </is>
      </c>
      <c r="D23" s="5" t="inlineStr">
        <is>
          <t>APX-CTL-02, APX-CTL-04, APX-CTL-06</t>
        </is>
      </c>
      <c r="E23" s="5" t="inlineStr">
        <is>
          <t>Given a stadium event lets out. When the operator holds the exit gate open with high priority until 23:00, the crowd clears early, and a supervisor closes the lane at 22:40. Then the closeLane releases the hold, which ends succeeded with the releasing command in detail (Part 6 §6.1 hold-open release; F-CTL-09 fixed). Had nobody intervened, the hold would have released itself at its expiryTime.</t>
        </is>
      </c>
      <c r="F23" s="5" t="inlineStr">
        <is>
          <t>POST /v1/commands → 202
POST /v1/commands → 202
GET /v1/commands/d1000000-0000-4000-8000-000000000119 → 200</t>
        </is>
      </c>
      <c r="G23" s="5">
        <f>IF(F23="",0,LEN(F23)-LEN(SUBSTITUTE(F23,CHAR(10),""))+1)</f>
        <v/>
      </c>
      <c r="H23" s="5" t="inlineStr"/>
    </row>
    <row r="24">
      <c r="A24" s="5" t="inlineStr">
        <is>
          <t>CTL-23</t>
        </is>
      </c>
      <c r="B24" s="5" t="inlineStr">
        <is>
          <t>A dashboard polls too fast, then its token dies</t>
        </is>
      </c>
      <c r="C24" s="5" t="inlineStr">
        <is>
          <t>edge</t>
        </is>
      </c>
      <c r="D24" s="5" t="inlineStr">
        <is>
          <t>APX-CORE-05</t>
        </is>
      </c>
      <c r="E24" s="5" t="inlineStr">
        <is>
          <t>Given an operations dashboard polling device state every 200 ms. When it exceeds the read rate limit, and later keeps polling on an expired token. Then 429 with Retry-After on both read routes, and 401 on both. The 401 problem type is the same unregistered one as CTL-14 (F-CTL-07).</t>
        </is>
      </c>
      <c r="F24" s="5" t="inlineStr">
        <is>
          <t>GET /v1/devices → 429
GET /v1/validations/providers → 429
GET /v1/devices → 401
GET /v1/validations/providers → 401</t>
        </is>
      </c>
      <c r="G24" s="5">
        <f>IF(F24="",0,LEN(F24)-LEN(SUBSTITUTE(F24,CHAR(10),""))+1)</f>
        <v/>
      </c>
      <c r="H24" s="5" t="inlineStr"/>
    </row>
    <row r="25">
      <c r="A25" s="5" t="inlineStr">
        <is>
          <t>CTL-24</t>
        </is>
      </c>
      <c r="B25" s="5" t="inlineStr">
        <is>
          <t>The supervisor's question: what was vended at lane 2, and by whom</t>
        </is>
      </c>
      <c r="C25" s="5" t="inlineStr">
        <is>
          <t>happy</t>
        </is>
      </c>
      <c r="D25" s="5" t="inlineStr">
        <is>
          <t>APX-CTL-13, APX-CTL-03</t>
        </is>
      </c>
      <c r="E25" s="5" t="inlineStr">
        <is>
          <t>Given a driver complains the next morning that lane 2 "opened for the car in front and not for me". When the supervisor lists the vendGate commands at lane 2 between 18:00 and 19:00, then everything agent j.okafor did that evening at Lakeside, then asks about Harbor Deck. Then the audit trail comes back from the same records apx.control.command.status.v1 published, and Harbor Deck is 403 insufficient-grant (Part 6 §6.1b; F-CTL-10 fixed).</t>
        </is>
      </c>
      <c r="F25" s="5" t="inlineStr">
        <is>
          <t>GET /v1/commands → 200
GET /v1/commands → 200
GET /v1/commands → 403
GET /v1/commands → 429
GET /v1/commands → 401</t>
        </is>
      </c>
      <c r="G25" s="5">
        <f>IF(F25="",0,LEN(F25)-LEN(SUBSTITUTE(F25,CHAR(10),""))+1)</f>
        <v/>
      </c>
      <c r="H25" s="5" t="inlineStr"/>
    </row>
    <row r="26">
      <c r="A26" s="5" t="inlineStr">
        <is>
          <t>CTL-25</t>
        </is>
      </c>
      <c r="B26" s="5" t="inlineStr">
        <is>
          <t>The shared refusals on every other Control route</t>
        </is>
      </c>
      <c r="C26" s="5" t="inlineStr">
        <is>
          <t>security</t>
        </is>
      </c>
      <c r="D26" s="5" t="inlineStr">
        <is>
          <t>APX-CORE-05, APX-CORE-07</t>
        </is>
      </c>
      <c r="E26" s="5" t="inlineStr">
        <is>
          <t>Given the same four failure modes every client meets eventually. When they hit the id-addressed Control routes. Then each route answers with the shared response and a registered type: 403 for a target outside the grant or a missing scope, 429 when throttled, 401 on a dead token (Part 12 §12.3). A Lakeside token reads Harbor Deck's command, device, and lane, then tries to cancel with a read-only token:</t>
        </is>
      </c>
      <c r="F26" s="5" t="inlineStr">
        <is>
          <t>GET /v1/commands/d1000000-0000-4000-8000-000000000199 → 403
GET /v1/devices/c1000000-0000-4000-8000-000000000031 → 403
GET /v1/lanes/b2000000-0000-4000-8000-000000000003/current → 403
POST /v1/commands/d1000000-0000-4000-8000-000000000103/cancel → 403
GET /v1/commands/d1000000-0000-4000-8000-000000000101 → 429
POST /v1/commands/d1000000-0000-4000-8000-000000000103/cancel → 429
GET /v1/devices/c1000000-0000-4000-8000-000000000003 → 429
GET /v1/lanes/b2000000-0000-4000-8000-000000000002/current → 429
GET /v1/commands/d1000000-0000-4000-8000-000000000101 → 401
POST /v1/commands/d1000000-0000-4000-8000-000000000103/cancel → 401
GET /v1/devices/c1000000-0000-4000-8000-000000000003 → 401
GET /v1/lanes/b2000000-0000-4000-8000-000000000002/current → 401</t>
        </is>
      </c>
      <c r="G26" s="5">
        <f>IF(F26="",0,LEN(F26)-LEN(SUBSTITUTE(F26,CHAR(10),""))+1)</f>
        <v/>
      </c>
      <c r="H26" s="5" t="inlineStr"/>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4" customWidth="1" min="2" max="2"/>
    <col width="11" customWidth="1" min="3" max="3"/>
    <col width="26" customWidth="1" min="4" max="4"/>
    <col width="90" customWidth="1" min="5" max="5"/>
    <col width="52" customWidth="1" min="6" max="6"/>
    <col width="10" customWidth="1" min="7" max="7"/>
    <col width="14" customWidth="1" min="8" max="8"/>
  </cols>
  <sheetData>
    <row r="1">
      <c r="A1" s="3" t="inlineStr">
        <is>
          <t>ID</t>
        </is>
      </c>
      <c r="B1" s="3" t="inlineStr">
        <is>
          <t>Title</t>
        </is>
      </c>
      <c r="C1" s="3" t="inlineStr">
        <is>
          <t>Kind</t>
        </is>
      </c>
      <c r="D1" s="3" t="inlineStr">
        <is>
          <t>Annex A rows</t>
        </is>
      </c>
      <c r="E1" s="3" t="inlineStr">
        <is>
          <t>Scenario (Given / When / Then)</t>
        </is>
      </c>
      <c r="F1" s="3" t="inlineStr">
        <is>
          <t>Exchanges (request → status)</t>
        </is>
      </c>
      <c r="G1" s="3" t="inlineStr">
        <is>
          <t>Exchange count</t>
        </is>
      </c>
      <c r="H1" s="3" t="inlineStr">
        <is>
          <t>Open spec gap</t>
        </is>
      </c>
    </row>
    <row r="2">
      <c r="A2" s="5" t="inlineStr">
        <is>
          <t>CRD-01</t>
        </is>
      </c>
      <c r="B2" s="5" t="inlineStr">
        <is>
          <t>Issue a keycard for a new monthly parker</t>
        </is>
      </c>
      <c r="C2" s="5" t="inlineStr">
        <is>
          <t>happy</t>
        </is>
      </c>
      <c r="D2" s="5" t="inlineStr">
        <is>
          <t>APX-CRD-01, APX-CRD-05, APX-CRD-06</t>
        </is>
      </c>
      <c r="E2" s="5" t="inlineStr">
        <is>
          <t>Given Maya Okafor signs a monthly contract starting January 1 and the front desk pulls an HID proximity card from stock. When the desk issues it with an idempotency key, a $25 deposit, and the validity window. Then the server answers 201 with the record in issued (nothing opens the gate yet), publishes apx.credentials.status.v1, and a read returns the same record with its identification — visible only because the token carries apx.credentials:*.</t>
        </is>
      </c>
      <c r="F2" s="5" t="inlineStr">
        <is>
          <t>POST /v1/credentials → 201
GET /v1/credentials/d6000000-0000-4000-8000-000000000101 → 200</t>
        </is>
      </c>
      <c r="G2" s="5">
        <f>IF(F2="",0,LEN(F2)-LEN(SUBSTITUTE(F2,CHAR(10),""))+1)</f>
        <v/>
      </c>
      <c r="H2" s="5" t="inlineStr"/>
    </row>
    <row r="3">
      <c r="A3" s="5" t="inlineStr">
        <is>
          <t>CRD-02</t>
        </is>
      </c>
      <c r="B3" s="5" t="inlineStr">
        <is>
          <t>The desk console retries: same key, then the wrong key</t>
        </is>
      </c>
      <c r="C3" s="5" t="inlineStr">
        <is>
          <t>edge</t>
        </is>
      </c>
      <c r="D3" s="5" t="inlineStr">
        <is>
          <t>APX-CRD-01, APX-CORE-05</t>
        </is>
      </c>
      <c r="E3" s="5" t="inlineStr">
        <is>
          <t>Given the 201 from CRD-01 was lost to a Wi-Fi drop at the front desk. When the console retries with the identical key and body, then a console bug reuses the key for a different card, then a third client forgets the header altogether. Then 200 with the ORIGINAL record (one card issued, not two), 409 idempotency-conflict, and 400 idempotency-key-required.</t>
        </is>
      </c>
      <c r="F3" s="5" t="inlineStr">
        <is>
          <t>POST /v1/credentials → 200
POST /v1/credentials → 409
POST /v1/credentials → 400</t>
        </is>
      </c>
      <c r="G3" s="5">
        <f>IF(F3="",0,LEN(F3)-LEN(SUBSTITUTE(F3,CHAR(10),""))+1)</f>
        <v/>
      </c>
      <c r="H3" s="5" t="inlineStr"/>
    </row>
    <row r="4">
      <c r="A4" s="5" t="inlineStr">
        <is>
          <t>CRD-03</t>
        </is>
      </c>
      <c r="B4" s="5" t="inlineStr">
        <is>
          <t>Malformed record, unknown holder</t>
        </is>
      </c>
      <c r="C4" s="5" t="inlineStr">
        <is>
          <t>refusal</t>
        </is>
      </c>
      <c r="D4" s="5" t="inlineStr">
        <is>
          <t>APX-CRD-01, APX-CORE-05</t>
        </is>
      </c>
      <c r="E4" s="5" t="inlineStr">
        <is>
          <t>Given two broken issue requests. When one omits credentialType and one names a RightHolder that does not exist. Then 400 invalid-request and 422 reference-unknown, both declared on the operation and both now registered in Part 12 and named in its descriptions (F-CRD-02 and F-CRD-01, fixed).</t>
        </is>
      </c>
      <c r="F4" s="5" t="inlineStr">
        <is>
          <t>POST /v1/credentials → 400
POST /v1/credentials → 422</t>
        </is>
      </c>
      <c r="G4" s="5">
        <f>IF(F4="",0,LEN(F4)-LEN(SUBSTITUTE(F4,CHAR(10),""))+1)</f>
        <v/>
      </c>
      <c r="H4" s="5" t="inlineStr"/>
    </row>
    <row r="5">
      <c r="A5" s="5" t="inlineStr">
        <is>
          <t>CRD-04</t>
        </is>
      </c>
      <c r="B5" s="5" t="inlineStr">
        <is>
          <t>Ray's fob: issued at the desk, activated on collection, seen by a stock APDS lane</t>
        </is>
      </c>
      <c r="C5" s="5" t="inlineStr">
        <is>
          <t>lifecycle</t>
        </is>
      </c>
      <c r="D5" s="5" t="inlineStr">
        <is>
          <t>APX-CRD-01, APX-CRD-02, APX-CORE-02</t>
        </is>
      </c>
      <c r="E5" s="5" t="inlineStr">
        <is>
          <t>Given Ray Delgado's monthly right starts today and the desk has a garage-remote fob ready. When the desk issues it at 09:00 and activates it at 09:05 when Ray collects it. Then the record goes issued → active, and the entry lane — an APDS-native client that only reads /rights/assigned — sees a CredentialAssigned whose identifier points at the CredentialRecord, without ever speaking APX.</t>
        </is>
      </c>
      <c r="F5" s="5" t="inlineStr">
        <is>
          <t>POST /v1/credentials → 201
POST /v1/credentials/d6000000-0000-4000-8000-000000000103/activate → 200
GET /rights/assigned → 200</t>
        </is>
      </c>
      <c r="G5" s="5">
        <f>IF(F5="",0,LEN(F5)-LEN(SUBSTITUTE(F5,CHAR(10),""))+1)</f>
        <v/>
      </c>
      <c r="H5" s="5" t="inlineStr"/>
    </row>
    <row r="6">
      <c r="A6" s="5" t="inlineStr">
        <is>
          <t>CRD-05</t>
        </is>
      </c>
      <c r="B6" s="5" t="inlineStr">
        <is>
          <t>Activate twice, activate nothing</t>
        </is>
      </c>
      <c r="C6" s="5" t="inlineStr">
        <is>
          <t>refusal</t>
        </is>
      </c>
      <c r="D6" s="5" t="inlineStr">
        <is>
          <t>APX-CRD-01</t>
        </is>
      </c>
      <c r="E6" s="5" t="inlineStr">
        <is>
          <t>Given the fob from CRD-04 is already active. When the desk double-clicks Activate, then a stale bookmark hits an id that never existed, on both the read and the activate route. Then 409 credential-transition-illegal (active is not issued), and 404 twice.</t>
        </is>
      </c>
      <c r="F6" s="5" t="inlineStr">
        <is>
          <t>POST /v1/credentials/d6000000-0000-4000-8000-000000000103/activate → 409
GET /v1/credentials/d6000000-0000-4000-8000-0000000000ff → 404
POST /v1/credentials/d6000000-0000-4000-8000-0000000000ff/activate → 404</t>
        </is>
      </c>
      <c r="G6" s="5">
        <f>IF(F6="",0,LEN(F6)-LEN(SUBSTITUTE(F6,CHAR(10),""))+1)</f>
        <v/>
      </c>
      <c r="H6" s="5" t="inlineStr"/>
    </row>
    <row r="7">
      <c r="A7" s="5" t="inlineStr">
        <is>
          <t>CRD-06</t>
        </is>
      </c>
      <c r="B7" s="5" t="inlineStr">
        <is>
          <t>Suspended for non-payment until the 17th, denied at the gate, resumed by the clock</t>
        </is>
      </c>
      <c r="C7" s="5" t="inlineStr">
        <is>
          <t>lifecycle</t>
        </is>
      </c>
      <c r="D7" s="5" t="inlineStr">
        <is>
          <t>APX-CRD-01, APX-CRD-02, APX-CRD-04, APX-CRD-06</t>
        </is>
      </c>
      <c r="E7" s="5" t="inlineStr">
        <is>
          <t>Given Ray's September invoice is unpaid on the 10th. When billing suspends the fob with until set to the 17th, Ray presents it at the entry lane that evening, and the 17th arrives. Then the record shows suspension, the stock APDS query on the AssignedRight comes back empty, the lane denies with credentialSuspended and the access event is published, and at the appointed instant the server resumes it with actor system and publishes the status event.</t>
        </is>
      </c>
      <c r="F7" s="5" t="inlineStr">
        <is>
          <t>POST /v1/credentials/d6000000-0000-4000-8000-000000000103/suspend → 200
GET /rights/assigned → 200</t>
        </is>
      </c>
      <c r="G7" s="5">
        <f>IF(F7="",0,LEN(F7)-LEN(SUBSTITUTE(F7,CHAR(10),""))+1)</f>
        <v/>
      </c>
      <c r="H7" s="5" t="inlineStr"/>
    </row>
    <row r="8">
      <c r="A8" s="5" t="inlineStr">
        <is>
          <t>CRD-07</t>
        </is>
      </c>
      <c r="B8" s="5" t="inlineStr">
        <is>
          <t>Suspend and resume by hand, and the transitions that do not exist</t>
        </is>
      </c>
      <c r="C8" s="5" t="inlineStr">
        <is>
          <t>lifecycle</t>
        </is>
      </c>
      <c r="D8" s="5" t="inlineStr">
        <is>
          <t>APX-CRD-01, APX-CRD-02</t>
        </is>
      </c>
      <c r="E8" s="5" t="inlineStr">
        <is>
          <t>Given Ray is travelling for a week and asks the desk to freeze the fob without an end date. When the desk suspends it on the 18th and resumes it on the 22nd, then clicks Resume again, and then tries to suspend a hangtag that was issued but never collected. Then 200, 200, 409 credential-transition-illegal (already active), and 409 credential-transition-illegal (issued cannot be suspended, only activated or revoked); an unknown id is 404 on both routes.</t>
        </is>
      </c>
      <c r="F8" s="5" t="inlineStr">
        <is>
          <t>POST /v1/credentials/d6000000-0000-4000-8000-000000000103/suspend → 200
POST /v1/credentials/d6000000-0000-4000-8000-000000000103/resume → 200
POST /v1/credentials/d6000000-0000-4000-8000-000000000103/resume → 409
POST /v1/credentials/d6000000-0000-4000-8000-000000000110/suspend → 409
POST /v1/credentials/d6000000-0000-4000-8000-0000000000ff/suspend → 404
POST /v1/credentials/d6000000-0000-4000-8000-0000000000ff/resume → 404</t>
        </is>
      </c>
      <c r="G8" s="5">
        <f>IF(F8="",0,LEN(F8)-LEN(SUBSTITUTE(F8,CHAR(10),""))+1)</f>
        <v/>
      </c>
      <c r="H8" s="5" t="inlineStr"/>
    </row>
    <row r="9">
      <c r="A9" s="5" t="inlineStr">
        <is>
          <t>CRD-08</t>
        </is>
      </c>
      <c r="B9" s="5" t="inlineStr">
        <is>
          <t>Reported lost from active, stolen while suspended, and the states that cannot be lost</t>
        </is>
      </c>
      <c r="C9" s="5" t="inlineStr">
        <is>
          <t>lifecycle</t>
        </is>
      </c>
      <c r="D9" s="5" t="inlineStr">
        <is>
          <t>APX-CRD-01, APX-CRD-02</t>
        </is>
      </c>
      <c r="E9" s="5" t="inlineStr">
        <is>
          <t>Given Maya calls at noon on the 19th: the keycard is gone (scenario 20). When the agent reports it lost; later, Northshore Plumbing's windshield transponder — suspended for an account balance — is reported stolen from a van; then someone tries report-lost on the uncollected hangtag and again on Maya's already-lost card. Then 200 (active → lost), 200 (suspended → lost), 409, 409, and 404 for an unknown id. From each lost instant the lane denies the credential.</t>
        </is>
      </c>
      <c r="F9" s="5" t="inlineStr">
        <is>
          <t>POST /v1/credentials/d6000000-0000-4000-8000-000000000101/report-lost → 200
POST /v1/credentials/d6000000-0000-4000-8000-000000000104/report-lost → 200
POST /v1/credentials/d6000000-0000-4000-8000-000000000110/report-lost → 409
POST /v1/credentials/d6000000-0000-4000-8000-000000000101/report-lost → 409
POST /v1/credentials/d6000000-0000-4000-8000-0000000000ff/report-lost → 404</t>
        </is>
      </c>
      <c r="G9" s="5">
        <f>IF(F9="",0,LEN(F9)-LEN(SUBSTITUTE(F9,CHAR(10),""))+1)</f>
        <v/>
      </c>
      <c r="H9" s="5" t="inlineStr"/>
    </row>
    <row r="10">
      <c r="A10" s="5" t="inlineStr">
        <is>
          <t>CRD-09</t>
        </is>
      </c>
      <c r="B10" s="5" t="inlineStr">
        <is>
          <t>Replace the lost card from pre-encoded stock, in one call</t>
        </is>
      </c>
      <c r="C10" s="5" t="inlineStr">
        <is>
          <t>happy</t>
        </is>
      </c>
      <c r="D10" s="5" t="inlineStr">
        <is>
          <t>APX-CRD-01, APX-CRD-03, APX-CRD-06</t>
        </is>
      </c>
      <c r="E10" s="5" t="inlineStr">
        <is>
          <t>Given Maya's card is lost and the front desk holds pre-encoded stock. When the agent replaces it, forfeiting the old deposit against the new one, and the console retries the same call after a timeout. Then 201 with the successor already active, inheriting holder, account, assigned right, places, and validity; the predecessor reads replaced with replacedBy and its deposit forfeited; the retry returns 200 with the SAME successor. The AssignedRight swapped cards in one AssignedRightUpdated.</t>
        </is>
      </c>
      <c r="F10" s="5" t="inlineStr">
        <is>
          <t>POST /v1/credentials/d6000000-0000-4000-8000-000000000101/replace → 201
GET /v1/credentials/d6000000-0000-4000-8000-000000000101 → 200
POST /v1/credentials/d6000000-0000-4000-8000-000000000101/replace → 200</t>
        </is>
      </c>
      <c r="G10" s="5">
        <f>IF(F10="",0,LEN(F10)-LEN(SUBSTITUTE(F10,CHAR(10),""))+1)</f>
        <v/>
      </c>
      <c r="H10" s="5" t="inlineStr"/>
    </row>
    <row r="11">
      <c r="A11" s="5" t="inlineStr">
        <is>
          <t>CRD-10</t>
        </is>
      </c>
      <c r="B11" s="5" t="inlineStr">
        <is>
          <t>Everything replace refuses</t>
        </is>
      </c>
      <c r="C11" s="5" t="inlineStr">
        <is>
          <t>refusal</t>
        </is>
      </c>
      <c r="D11" s="5" t="inlineStr">
        <is>
          <t>APX-CRD-01, APX-CRD-03, APX-CORE-05</t>
        </is>
      </c>
      <c r="E11" s="5" t="inlineStr">
        <is>
          <t>Given the replaced card from CRD-09, the hangtag revoked in CRD-12, the seasonal hangtag that expired in CRD-13, and the uncollected hangtag still in issued. When a replacement is requested on each, then on Ray's fob with a successor identification that is already live, then with the key from CRD-09 and a different body, then without a key, then on an id that does not exist. Then 409 credential-not-replaceable three times, 409 credential-transition-illegal for issued (F-CRD-04, fixed: §21.1 rule 1 now says so, and credential-not-replaceable is reserved for terminal states), 409 credential-identification-in-use, 409 idempotency-conflict, 400 idempotency-key-required, and 404.</t>
        </is>
      </c>
      <c r="F11" s="5" t="inlineStr">
        <is>
          <t>POST /v1/credentials/d6000000-0000-4000-8000-000000000101/replace → 409
POST /v1/credentials/d6000000-0000-4000-8000-000000000110/replace → 409
POST /v1/credentials/d6000000-0000-4000-8000-000000000112/replace → 409
POST /v1/credentials/d6000000-0000-4000-8000-000000000113/replace → 409
POST /v1/credentials/d6000000-0000-4000-8000-000000000103/replace → 409
POST /v1/credentials/d6000000-0000-4000-8000-000000000101/replace → 409
POST /v1/credentials/d6000000-0000-4000-8000-000000000103/replace → 400
POST /v1/credentials/d6000000-0000-4000-8000-0000000000ff/replace → 404</t>
        </is>
      </c>
      <c r="G11" s="5">
        <f>IF(F11="",0,LEN(F11)-LEN(SUBSTITUTE(F11,CHAR(10),""))+1)</f>
        <v/>
      </c>
      <c r="H11" s="5" t="inlineStr"/>
    </row>
    <row r="12">
      <c r="A12" s="5" t="inlineStr">
        <is>
          <t>CRD-11</t>
        </is>
      </c>
      <c r="B12" s="5" t="inlineStr">
        <is>
          <t>6 PM: the old card at the gate, and the next morning's question</t>
        </is>
      </c>
      <c r="C12" s="5" t="inlineStr">
        <is>
          <t>happy</t>
        </is>
      </c>
      <c r="D12" s="5" t="inlineStr">
        <is>
          <t>APX-CRD-02, APX-CRD-04, APX-CRD-05</t>
        </is>
      </c>
      <c r="E12" s="5" t="inlineStr">
        <is>
          <t>Given the old card was taken off the AssignedRight at noon. When someone presents it at the entry lane at 18:02 and Maya asks the next morning whether anyone used it. Then the APDS-native lane finds no right carrying C-0048812 and denies; the server records the attempt with denialReason: credentialReplaced and publishes it; the history route returns newest-first, filters by outcome, pages, and 404s for an unknown credential.</t>
        </is>
      </c>
      <c r="F12" s="5" t="inlineStr">
        <is>
          <t>GET /v1/credentials/d6000000-0000-4000-8000-000000000101/access-events → 200
GET /v1/credentials/d6000000-0000-4000-8000-000000000101/access-events → 200
GET /v1/credentials/d6000000-0000-4000-8000-000000000101/access-events → 200
GET /v1/credentials/d6000000-0000-4000-8000-0000000000ff/access-events → 404</t>
        </is>
      </c>
      <c r="G12" s="5">
        <f>IF(F12="",0,LEN(F12)-LEN(SUBSTITUTE(F12,CHAR(10),""))+1)</f>
        <v/>
      </c>
      <c r="H12" s="5" t="inlineStr"/>
    </row>
    <row r="13">
      <c r="A13" s="5" t="inlineStr">
        <is>
          <t>CRD-12</t>
        </is>
      </c>
      <c r="B13" s="5" t="inlineStr">
        <is>
          <t>Revoke: never collected, stolen, and twice is once too many</t>
        </is>
      </c>
      <c r="C13" s="5" t="inlineStr">
        <is>
          <t>lifecycle</t>
        </is>
      </c>
      <c r="D13" s="5" t="inlineStr">
        <is>
          <t>APX-CRD-01, APX-CRD-02, APX-CRD-06</t>
        </is>
      </c>
      <c r="E13" s="5" t="inlineStr">
        <is>
          <t>Given a contractor hangtag issued on the 1st that nobody ever collected, and Northshore's transponder now lost with a police reference. When the desk revokes the hangtag from issued and the fleet desk revokes the transponder from lost, then a second revoke lands on each, and one on Maya's replaced card. Then 200, 200, and 409 credential-transition-illegal three times: revoked and replaced are terminal. The transponder's CredentialAssigned is gone from the fleet AssignedRight; an unknown id is 404.</t>
        </is>
      </c>
      <c r="F13" s="5" t="inlineStr">
        <is>
          <t>POST /v1/credentials/d6000000-0000-4000-8000-000000000110/revoke → 200
POST /v1/credentials/d6000000-0000-4000-8000-000000000104/revoke → 200
GET /rights/assigned → 200
POST /v1/credentials/d6000000-0000-4000-8000-000000000110/revoke → 409
POST /v1/credentials/d6000000-0000-4000-8000-000000000101/revoke → 409
POST /v1/credentials/d6000000-0000-4000-8000-0000000000ff/revoke → 404</t>
        </is>
      </c>
      <c r="G13" s="5">
        <f>IF(F13="",0,LEN(F13)-LEN(SUBSTITUTE(F13,CHAR(10),""))+1)</f>
        <v/>
      </c>
      <c r="H13" s="5" t="inlineStr"/>
    </row>
    <row r="14">
      <c r="A14" s="5" t="inlineStr">
        <is>
          <t>CRD-13</t>
        </is>
      </c>
      <c r="B14" s="5" t="inlineStr">
        <is>
          <t>The season ends at midnight: expired by the server, denied at the gate</t>
        </is>
      </c>
      <c r="C14" s="5" t="inlineStr">
        <is>
          <t>lifecycle</t>
        </is>
      </c>
      <c r="D14" s="5" t="inlineStr">
        <is>
          <t>APX-CRD-01, APX-CRD-02, APX-CRD-04, APX-CRD-06</t>
        </is>
      </c>
      <c r="E14" s="5" t="inlineStr">
        <is>
          <t>Given a summer-season hangtag whose validity.end is 2026-08-31T23:59:59Z. When that instant passes, the holder tries the gate on September 1, and the desk later tries to reactivate it. Then the server moves it to expired with actor system and publishes the status event like any other transition; the lane denies with credentialExpired; and activate is 409 credential-transition-illegal because expired is terminal. There is no route that sets expiry — it is the clock.</t>
        </is>
      </c>
      <c r="F14" s="5" t="inlineStr">
        <is>
          <t>GET /v1/credentials/d6000000-0000-4000-8000-000000000112 → 200
POST /v1/credentials/d6000000-0000-4000-8000-000000000112/activate → 409</t>
        </is>
      </c>
      <c r="G14" s="5">
        <f>IF(F14="",0,LEN(F14)-LEN(SUBSTITUTE(F14,CHAR(10),""))+1)</f>
        <v/>
      </c>
      <c r="H14" s="5" t="inlineStr"/>
    </row>
    <row r="15">
      <c r="A15" s="5" t="inlineStr">
        <is>
          <t>CRD-14</t>
        </is>
      </c>
      <c r="B15" s="5" t="inlineStr">
        <is>
          <t>Upgrade the fob to a mobile credential, deposit refunded</t>
        </is>
      </c>
      <c r="C15" s="5" t="inlineStr">
        <is>
          <t>happy</t>
        </is>
      </c>
      <c r="D15" s="5" t="inlineStr">
        <is>
          <t>APX-CRD-03, APX-CRD-02</t>
        </is>
      </c>
      <c r="E15" s="5" t="inlineStr">
        <is>
          <t>Given Ray installs the garage app and wants to stop carrying the fob. When the desk replaces the active fob with a Bluetooth mobile credential, leaving the identification to the server (the app enrolls against whatever the server mints) and refunding the $15 deposit. Then 201 with a successor of a different credentialType, no deposit, media.form: mobile, and the fob replaced with its deposit refunded — one atomic swap on the AssignedRight.</t>
        </is>
      </c>
      <c r="F15" s="5" t="inlineStr">
        <is>
          <t>POST /v1/credentials/d6000000-0000-4000-8000-000000000103/replace → 201
GET /v1/credentials/d6000000-0000-4000-8000-000000000103 → 200</t>
        </is>
      </c>
      <c r="G15" s="5">
        <f>IF(F15="",0,LEN(F15)-LEN(SUBSTITUTE(F15,CHAR(10),""))+1)</f>
        <v/>
      </c>
      <c r="H15" s="5" t="inlineStr"/>
    </row>
    <row r="16">
      <c r="A16" s="5" t="inlineStr">
        <is>
          <t>CRD-15</t>
        </is>
      </c>
      <c r="B16" s="5" t="inlineStr">
        <is>
          <t>Fleet onboarding: a plate as the credential, a windshield transponder, a contractor hangtag</t>
        </is>
      </c>
      <c r="C16" s="5" t="inlineStr">
        <is>
          <t>happy</t>
        </is>
      </c>
      <c r="D16" s="5" t="inlineStr">
        <is>
          <t>APX-CRD-01, APX-CRD-02</t>
        </is>
      </c>
      <c r="E16" s="5" t="inlineStr">
        <is>
          <t>Given Northshore Plumbing signs a fleet contract and a contractor needs a visible tag for the loading dock. When the fleet desk issues the van's plate as its credential (licensePlate, identifies the vehicle, no media deposit), a windshield transponder for a second van, and a hangtag for the contractor, then activates the plate. Then three 201s and a 200, and the plate is materialized on the fleet AssignedRight as a vehicle CredentialAssigned the LPR lane can match without any APX call.</t>
        </is>
      </c>
      <c r="F16" s="5" t="inlineStr">
        <is>
          <t>POST /v1/credentials → 201
POST /v1/credentials → 201
POST /v1/credentials → 201
POST /v1/credentials/d6000000-0000-4000-8000-000000000105/activate → 200
GET /rights/assigned → 200</t>
        </is>
      </c>
      <c r="G16" s="5">
        <f>IF(F16="",0,LEN(F16)-LEN(SUBSTITUTE(F16,CHAR(10),""))+1)</f>
        <v/>
      </c>
      <c r="H16" s="5" t="inlineStr"/>
    </row>
    <row r="17">
      <c r="A17" s="5" t="inlineStr">
        <is>
          <t>CRD-16</t>
        </is>
      </c>
      <c r="B17" s="5" t="inlineStr">
        <is>
          <t>The list, sliced every way the console needs</t>
        </is>
      </c>
      <c r="C17" s="5" t="inlineStr">
        <is>
          <t>happy</t>
        </is>
      </c>
      <c r="D17" s="5" t="inlineStr">
        <is>
          <t>APX-CRD-05, APX-CRD-01</t>
        </is>
      </c>
      <c r="E17" s="5" t="inlineStr">
        <is>
          <t>Given the desk console's search box. When it lists by holder, by type and place, by status, by account, and by exact identification, and pages a long result. Then each answer is the APDS {meta, data} envelope constrained to the Lakeside grant, and identification values appear because the token carries apx.credentials:read.</t>
        </is>
      </c>
      <c r="F17" s="5" t="inlineStr">
        <is>
          <t>GET /v1/credentials → 200
GET /v1/credentials → 200
GET /v1/credentials → 200
GET /v1/credentials → 200
GET /v1/credentials → 200</t>
        </is>
      </c>
      <c r="G17" s="5">
        <f>IF(F17="",0,LEN(F17)-LEN(SUBSTITUTE(F17,CHAR(10),""))+1)</f>
        <v/>
      </c>
      <c r="H17" s="5" t="inlineStr"/>
    </row>
    <row r="18">
      <c r="A18" s="5" t="inlineStr">
        <is>
          <t>CRD-17</t>
        </is>
      </c>
      <c r="B18" s="5" t="inlineStr">
        <is>
          <t>Wrong scope, wrong garage, no grant at all</t>
        </is>
      </c>
      <c r="C18" s="5" t="inlineStr">
        <is>
          <t>security</t>
        </is>
      </c>
      <c r="D18" s="5" t="inlineStr">
        <is>
          <t>APX-CORE-07, APX-CORE-08, APX-CRD-05</t>
        </is>
      </c>
      <c r="E18" s="5" t="inlineStr">
        <is>
          <t>Given a read-only credentials token, a token with only apx.accounts:read, a Lakeside manage token, and a manage token with no apx_places claim. When the read-only token issues and resumes; the accounts token searches by identification (the oracle §21.5 forbids); the Lakeside token reads, activates, suspends, reports lost, replaces, and reads the history of a Harbor Deck tenant's card, and issues a card whose only place is Harbor Deck; and the claimless token revokes Maya's card. Then 403 insufficient-scope three times, 403 insufficient-grant for every Harbor Deck target, and 403 insufficient-grant for the claimless token (fail-closed).</t>
        </is>
      </c>
      <c r="F18" s="5" t="inlineStr">
        <is>
          <t>POST /v1/credentials → 403
POST /v1/credentials/d6000000-0000-4000-8000-000000000103/resume → 403
GET /v1/credentials → 403
GET /v1/credentials/d6000000-0000-4000-8000-000000000111 → 403
POST /v1/credentials/d6000000-0000-4000-8000-000000000111/activate → 403
POST /v1/credentials/d6000000-0000-4000-8000-000000000111/suspend → 403
POST /v1/credentials/d6000000-0000-4000-8000-000000000111/report-lost → 403
POST /v1/credentials/d6000000-0000-4000-8000-000000000111/replace → 403
GET /v1/credentials/d6000000-0000-4000-8000-000000000111/access-events → 403
POST /v1/credentials → 403
POST /v1/credentials/d6000000-0000-4000-8000-000000000102/revoke → 403</t>
        </is>
      </c>
      <c r="G18" s="5">
        <f>IF(F18="",0,LEN(F18)-LEN(SUBSTITUTE(F18,CHAR(10),""))+1)</f>
        <v/>
      </c>
      <c r="H18" s="5" t="inlineStr"/>
    </row>
    <row r="19">
      <c r="A19" s="5" t="inlineStr">
        <is>
          <t>CRD-18</t>
        </is>
      </c>
      <c r="B19" s="5" t="inlineStr">
        <is>
          <t>Uniqueness across garages, without becoming an oracle</t>
        </is>
      </c>
      <c r="C19" s="5" t="inlineStr">
        <is>
          <t>security</t>
        </is>
      </c>
      <c r="D19" s="5" t="inlineStr">
        <is>
          <t>APX-CRD-01, APX-CRD-05</t>
        </is>
      </c>
      <c r="E19" s="5" t="inlineStr">
        <is>
          <t>Given Harbor Deck holds a live rfid card C-0077120 and Lakeside receives a batch printed with the same number. When the Lakeside desk issues it; then a Lakeside read-only token searches for it; then the desk issues a hangtag numbered like Maya's live card, and finally reissues C-0048812, whose old record is terminal. Then 409 credential-identification-in-use with a detail that names the type and nothing else — no record, holder, place, or state (F-CRD-05, fixed: §21.1 rule 2 keeps uniqueness implementation-wide because a lane cannot tell two identical cards apart, and §21.5 now requires the detail to identify nothing, so the collision reveals only that the value is taken); an empty 200 for the read (grant-constrained, no leak); 201 (unique per type); and 201 with no replaces (a terminal record's identification may be reissued).</t>
        </is>
      </c>
      <c r="F19" s="5" t="inlineStr">
        <is>
          <t>POST /v1/credentials → 409
GET /v1/credentials → 200
POST /v1/credentials → 201
POST /v1/credentials → 201</t>
        </is>
      </c>
      <c r="G19" s="5">
        <f>IF(F19="",0,LEN(F19)-LEN(SUBSTITUTE(F19,CHAR(10),""))+1)</f>
        <v/>
      </c>
      <c r="H19" s="5" t="inlineStr"/>
    </row>
    <row r="20">
      <c r="A20" s="5" t="inlineStr">
        <is>
          <t>CRD-19</t>
        </is>
      </c>
      <c r="B20" s="5" t="inlineStr">
        <is>
          <t>A magstripe card the enum cannot name: extensions survive the round-trip</t>
        </is>
      </c>
      <c r="C20" s="5" t="inlineStr">
        <is>
          <t>edge</t>
        </is>
      </c>
      <c r="D20" s="5" t="inlineStr">
        <is>
          <t>APX-CORE-04, APX-CRD-01</t>
        </is>
      </c>
      <c r="E20" s="5" t="inlineStr">
        <is>
          <t>Given Lakeside still runs one magstripe lane and APDS CredentialTypeEnum has no magstripe value (Part 21 maps it to ticket and carries the technology in extensions). When the desk issues the card with an apds-ext:lakeside:readtech@1.0 block and a loyalty block from a vendor the server has never heard of, then reads it back, then a client sends a key that does not match the §4.3 pattern. Then 201 and 200 carry both keys byte-for-byte, and the malformed key is 400 invalid-request (F-CRD-02, fixed).</t>
        </is>
      </c>
      <c r="F20" s="5" t="inlineStr">
        <is>
          <t>POST /v1/credentials → 201
GET /v1/credentials/d6000000-0000-4000-8000-000000000109 → 200
POST /v1/credentials → 400</t>
        </is>
      </c>
      <c r="G20" s="5">
        <f>IF(F20="",0,LEN(F20)-LEN(SUBSTITUTE(F20,CHAR(10),""))+1)</f>
        <v/>
      </c>
      <c r="H20" s="5" t="inlineStr"/>
    </row>
    <row r="21">
      <c r="A21" s="5" t="inlineStr">
        <is>
          <t>CRD-20</t>
        </is>
      </c>
      <c r="B21" s="5" t="inlineStr">
        <is>
          <t>Denied for passback: the access log says so, the fix lives in Part 17</t>
        </is>
      </c>
      <c r="C21" s="5" t="inlineStr">
        <is>
          <t>edge</t>
        </is>
      </c>
      <c r="D21" s="5" t="inlineStr">
        <is>
          <t>APX-CRD-04</t>
        </is>
      </c>
      <c r="E21" s="5" t="inlineStr">
        <is>
          <t>Given Maya's new card was used to let a friend in and never exited. When she presents it at the entry lane herself at 08:03. Then the lane denies with denialReason: passback, the event is published, and the agent who takes the call reads the passback overlay on the Part 17 route (apx.control:read) and clears it with a resetPassback command — nothing in this Part changes the credential's lifecycle for it.</t>
        </is>
      </c>
      <c r="F21" s="5" t="inlineStr">
        <is>
          <t>GET /v1/credentials/d6000000-0000-4000-8000-000000000102/passback → 200</t>
        </is>
      </c>
      <c r="G21" s="5">
        <f>IF(F21="",0,LEN(F21)-LEN(SUBSTITUTE(F21,CHAR(10),""))+1)</f>
        <v/>
      </c>
      <c r="H21" s="5" t="inlineStr"/>
    </row>
    <row r="22">
      <c r="A22" s="5" t="inlineStr">
        <is>
          <t>CRD-21</t>
        </is>
      </c>
      <c r="B22" s="5" t="inlineStr">
        <is>
          <t>2 am: a card nobody issued, and every denial at lane 1 tonight</t>
        </is>
      </c>
      <c r="C22" s="5" t="inlineStr">
        <is>
          <t>edge</t>
        </is>
      </c>
      <c r="D22" s="5" t="inlineStr">
        <is>
          <t>APX-CRD-04, APX-CRD-05</t>
        </is>
      </c>
      <c r="E22" s="5" t="inlineStr">
        <is>
          <t>Given at 02:14 someone presents an HID card numbered C-0099999 that no CredentialRecord at Lakeside has ever carried. When the lane denies it with unknownCredential and the night supervisor wants every denial at lane 1 tonight. Then the event is an AccessEvent with no credential and the value read in presented (F-CRD-07, fixed: §21.4 rule 2), and GET /v1/access-events lists it by lane alongside the denials of known cards (F-CRD-08, fixed). A malformed filter is 400; the Harbor Deck lane is outside the grant, 403; an expired token, 401; a supervisor dashboard refreshing every second, 429. The per-credential history now also takes until and direction. CredentialAccessEvent.credential stays required — relaxing it would break clients of the per-credential history — so the unmatched event is validated as the superset AccessEvent:</t>
        </is>
      </c>
      <c r="F22" s="5" t="inlineStr">
        <is>
          <t>GET /v1/access-events → 200
GET /v1/access-events → 200
GET /v1/credentials/d6000000-0000-4000-8000-000000000101/access-events → 200
GET /v1/access-events → 400
GET /v1/access-events → 403
GET /v1/access-events → 401
GET /v1/access-events → 429</t>
        </is>
      </c>
      <c r="G22" s="5">
        <f>IF(F22="",0,LEN(F22)-LEN(SUBSTITUTE(F22,CHAR(10),""))+1)</f>
        <v/>
      </c>
      <c r="H22" s="5" t="inlineStr"/>
    </row>
    <row r="23">
      <c r="A23" s="5" t="inlineStr">
        <is>
          <t>CRD-22</t>
        </is>
      </c>
      <c r="B23" s="5" t="inlineStr">
        <is>
          <t>The night shift's token expires at 03:00</t>
        </is>
      </c>
      <c r="C23" s="5" t="inlineStr">
        <is>
          <t>edge</t>
        </is>
      </c>
      <c r="D23" s="5" t="inlineStr">
        <is>
          <t>APX-CORE-06</t>
        </is>
      </c>
      <c r="E23" s="5" t="inlineStr">
        <is>
          <t>Given the desk console kept a token that expired at 03:00. When it touches every route in the module before anyone notices. Then 401 unauthenticated on each, declared everywhere via the shared Unauthorized response (F-CRD-03, fixed: the type is registered in Part 12). GET /v1/access-events is covered in CRD-21.</t>
        </is>
      </c>
      <c r="F23" s="5" t="inlineStr">
        <is>
          <t>POST /v1/credentials → 401
GET /v1/credentials → 401
GET /v1/credentials/d6000000-0000-4000-8000-000000000102 → 401
POST /v1/credentials/d6000000-0000-4000-8000-000000000113/activate → 401
POST /v1/credentials/d6000000-0000-4000-8000-000000000102/suspend → 401
POST /v1/credentials/d6000000-0000-4000-8000-000000000102/resume → 401
POST /v1/credentials/d6000000-0000-4000-8000-000000000102/report-lost → 401
POST /v1/credentials/d6000000-0000-4000-8000-000000000102/revoke → 401
POST /v1/credentials/d6000000-0000-4000-8000-000000000102/replace → 401
GET /v1/credentials/d6000000-0000-4000-8000-000000000102/access-events → 401</t>
        </is>
      </c>
      <c r="G23" s="5">
        <f>IF(F23="",0,LEN(F23)-LEN(SUBSTITUTE(F23,CHAR(10),""))+1)</f>
        <v/>
      </c>
      <c r="H23" s="5" t="inlineStr"/>
    </row>
    <row r="24">
      <c r="A24" s="5" t="inlineStr">
        <is>
          <t>CRD-23</t>
        </is>
      </c>
      <c r="B24" s="5" t="inlineStr">
        <is>
          <t>The card-file sync replays the whole garage at 2 am</t>
        </is>
      </c>
      <c r="C24" s="5" t="inlineStr">
        <is>
          <t>edge</t>
        </is>
      </c>
      <c r="D24" s="5" t="inlineStr">
        <is>
          <t>APX-CORE-05</t>
        </is>
      </c>
      <c r="E24" s="5" t="inlineStr">
        <is>
          <t>Given a nightly integration that re-drives every credential through the API instead of reading the change feed. When it exceeds the per-credential rate limit on every route in the module. Then 429 rate-limited with Retry-After on each; nothing is issued or transitioned by a throttled call.</t>
        </is>
      </c>
      <c r="F24" s="5" t="inlineStr">
        <is>
          <t>POST /v1/credentials → 429
GET /v1/credentials → 429
GET /v1/credentials/d6000000-0000-4000-8000-000000000102 → 429
POST /v1/credentials/d6000000-0000-4000-8000-000000000113/activate → 429
POST /v1/credentials/d6000000-0000-4000-8000-000000000102/suspend → 429
POST /v1/credentials/d6000000-0000-4000-8000-000000000102/resume → 429
POST /v1/credentials/d6000000-0000-4000-8000-000000000102/report-lost → 429
POST /v1/credentials/d6000000-0000-4000-8000-000000000102/revoke → 429
POST /v1/credentials/d6000000-0000-4000-8000-000000000102/replace → 429
GET /v1/credentials/d6000000-0000-4000-8000-000000000102/access-events → 429</t>
        </is>
      </c>
      <c r="G24" s="5">
        <f>IF(F24="",0,LEN(F24)-LEN(SUBSTITUTE(F24,CHAR(10),""))+1)</f>
        <v/>
      </c>
      <c r="H24" s="5" t="inlineStr"/>
    </row>
    <row r="25">
      <c r="A25" s="5" t="inlineStr">
        <is>
          <t>CRD-24</t>
        </is>
      </c>
      <c r="B25" s="5" t="inlineStr">
        <is>
          <t>A console build that forgot the reason</t>
        </is>
      </c>
      <c r="C25" s="5" t="inlineStr">
        <is>
          <t>refusal</t>
        </is>
      </c>
      <c r="D25" s="5" t="inlineStr">
        <is>
          <t>APX-CRD-01, APX-CORE-05</t>
        </is>
      </c>
      <c r="E25" s="5" t="inlineStr">
        <is>
          <t>Given a new desk-console release whose transition dialog drops the required reason. When it activates, suspends, resumes, reports lost, and revokes Maya's current card. Then 400 invalid-request on each with an errors[] pointer to /reason (Part 12 §12.4); the card stays active and nothing is published.</t>
        </is>
      </c>
      <c r="F25" s="5" t="inlineStr">
        <is>
          <t>POST /v1/credentials/d6000000-0000-4000-8000-000000000102/activate → 400
POST /v1/credentials/d6000000-0000-4000-8000-000000000102/suspend → 400
POST /v1/credentials/d6000000-0000-4000-8000-000000000102/resume → 400
POST /v1/credentials/d6000000-0000-4000-8000-000000000102/report-lost → 400
POST /v1/credentials/d6000000-0000-4000-8000-000000000102/revoke → 400</t>
        </is>
      </c>
      <c r="G25" s="5">
        <f>IF(F25="",0,LEN(F25)-LEN(SUBSTITUTE(F25,CHAR(10),""))+1)</f>
        <v/>
      </c>
      <c r="H25" s="5" t="inlineStr"/>
    </row>
    <row r="26">
      <c r="A26" s="5" t="inlineStr">
        <is>
          <t>CRD-25</t>
        </is>
      </c>
      <c r="B26" s="5" t="inlineStr">
        <is>
          <t>Windows already over, and a card that activates itself</t>
        </is>
      </c>
      <c r="C26" s="5" t="inlineStr">
        <is>
          <t>edge</t>
        </is>
      </c>
      <c r="D26" s="5" t="inlineStr">
        <is>
          <t>APX-CRD-01, APX-CRD-06</t>
        </is>
      </c>
      <c r="E26" s="5" t="inlineStr">
        <is>
          <t>Given a bulk import that still carries last season's contract, a billing batch that queues suspensions and replays them late, and a contractor hangtag the desk wants live the moment its window opens. When the import issues a card whose validity.end has passed, the batch suspends Maya's card until a time already gone, and the desk issues the hangtag with activateOnStart: true and a validity.start already past. Then 422 request-unprocessable twice, nothing written (F-CRD-11, fixed: §21.1 rule 7) — and 201 with the hangtag already active, activated by system at issue (F-CRD-06, fixed: §21.1 rule 6), materialized per §21.2 and published like any other transition.</t>
        </is>
      </c>
      <c r="F26" s="5" t="inlineStr">
        <is>
          <t>POST /v1/credentials → 422
POST /v1/credentials/d6000000-0000-4000-8000-000000000102/suspend → 422
POST /v1/credentials → 201</t>
        </is>
      </c>
      <c r="G26" s="5">
        <f>IF(F26="",0,LEN(F26)-LEN(SUBSTITUTE(F26,CHAR(10),""))+1)</f>
        <v/>
      </c>
      <c r="H26" s="5"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3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4" customWidth="1" min="2" max="2"/>
    <col width="11" customWidth="1" min="3" max="3"/>
    <col width="26" customWidth="1" min="4" max="4"/>
    <col width="90" customWidth="1" min="5" max="5"/>
    <col width="52" customWidth="1" min="6" max="6"/>
    <col width="10" customWidth="1" min="7" max="7"/>
    <col width="14" customWidth="1" min="8" max="8"/>
  </cols>
  <sheetData>
    <row r="1">
      <c r="A1" s="3" t="inlineStr">
        <is>
          <t>ID</t>
        </is>
      </c>
      <c r="B1" s="3" t="inlineStr">
        <is>
          <t>Title</t>
        </is>
      </c>
      <c r="C1" s="3" t="inlineStr">
        <is>
          <t>Kind</t>
        </is>
      </c>
      <c r="D1" s="3" t="inlineStr">
        <is>
          <t>Annex A rows</t>
        </is>
      </c>
      <c r="E1" s="3" t="inlineStr">
        <is>
          <t>Scenario (Given / When / Then)</t>
        </is>
      </c>
      <c r="F1" s="3" t="inlineStr">
        <is>
          <t>Exchanges (request → status)</t>
        </is>
      </c>
      <c r="G1" s="3" t="inlineStr">
        <is>
          <t>Exchange count</t>
        </is>
      </c>
      <c r="H1" s="3" t="inlineStr">
        <is>
          <t>Open spec gap</t>
        </is>
      </c>
    </row>
    <row r="2">
      <c r="A2" s="5" t="inlineStr">
        <is>
          <t>DATA-01</t>
        </is>
      </c>
      <c r="B2" s="5" t="inlineStr">
        <is>
          <t>A plain APDS client pulls the hierarchy, no APX anywhere</t>
        </is>
      </c>
      <c r="C2" s="5" t="inlineStr">
        <is>
          <t>happy</t>
        </is>
      </c>
      <c r="D2" s="5" t="inlineStr">
        <is>
          <t>APX-DATA-01, APX-DATA-07, APX-CORE-01, APX-CORE-02</t>
        </is>
      </c>
      <c r="E2" s="5" t="inlineStr">
        <is>
          <t>Given the city platform's first integration is a stock APDS 4.1 client that has never heard of APX. When it lists places, reads the garage, and reads the garage at an older version. Then it observes pure APDS 4.1: a HierarchyElementList, a Place whose hierarchyElementReference carries the native Supply and DemandTable, and version 6 of the same element. No APX header, no APX parameter, no APX field in the response.</t>
        </is>
      </c>
      <c r="F2" s="5" t="inlineStr">
        <is>
          <t>GET /places → 200
GET /places/b1000000-0000-4000-8000-000000000001 → 200
GET /places/b1000000-0000-4000-8000-000000000001 → 200</t>
        </is>
      </c>
      <c r="G2" s="5">
        <f>IF(F2="",0,LEN(F2)-LEN(SUBSTITUTE(F2,CHAR(10),""))+1)</f>
        <v/>
      </c>
      <c r="H2" s="5" t="inlineStr"/>
    </row>
    <row r="3">
      <c r="A3" s="5" t="inlineStr">
        <is>
          <t>DATA-02</t>
        </is>
      </c>
      <c r="B3" s="5" t="inlineStr">
        <is>
          <t>First sync with the coarse fallback: modified_since and tombstones</t>
        </is>
      </c>
      <c r="C3" s="5" t="inlineStr">
        <is>
          <t>happy</t>
        </is>
      </c>
      <c r="D3" s="5" t="inlineStr">
        <is>
          <t>APX-DATA-05, APX-DATA-07, APX-CORE-02</t>
        </is>
      </c>
      <c r="E3" s="5" t="inlineStr">
        <is>
          <t>Given the city platform holds no cursor yet. When it pulls sessions changed since 17 September with the native modified_since (Part 5 §5.2 rule 3). Then a stock SessionList whose deletedReferences names the session purged on the 20th — APDS's own tombstone shape, before any APX parameter is used.</t>
        </is>
      </c>
      <c r="F3" s="5" t="inlineStr">
        <is>
          <t>GET /sessions → 200</t>
        </is>
      </c>
      <c r="G3" s="5">
        <f>IF(F3="",0,LEN(F3)-LEN(SUBSTITUTE(F3,CHAR(10),""))+1)</f>
        <v/>
      </c>
      <c r="H3" s="5" t="inlineStr"/>
    </row>
    <row r="4">
      <c r="A4" s="5" t="inlineStr">
        <is>
          <t>DATA-03</t>
        </is>
      </c>
      <c r="B4" s="5" t="inlineStr">
        <is>
          <t>Switch to the cursor feed and drain it</t>
        </is>
      </c>
      <c r="C4" s="5" t="inlineStr">
        <is>
          <t>happy</t>
        </is>
      </c>
      <c r="D4" s="5" t="inlineStr">
        <is>
          <t>APX-DATA-03, APX-DATA-04, APX-DATA-01</t>
        </is>
      </c>
      <c r="E4" s="5" t="inlineStr">
        <is>
          <t>Given the platform has finished its full pull and been handed cursor c:00041. When it asks /sessions for changes after that cursor. Then a ChangeFeedPage: change-mode items carrying identity plus only the changed fields, a tombstone, a new cursor, and next pointing at the immediately available second page; the second page ends with next: null, so the platform polls later with c:00043.</t>
        </is>
      </c>
      <c r="F4" s="5" t="inlineStr">
        <is>
          <t>GET /sessions → 200
GET /sessions → 200</t>
        </is>
      </c>
      <c r="G4" s="5">
        <f>IF(F4="",0,LEN(F4)-LEN(SUBSTITUTE(F4,CHAR(10),""))+1)</f>
        <v/>
      </c>
      <c r="H4" s="5" t="inlineStr"/>
    </row>
    <row r="5">
      <c r="A5" s="5" t="inlineStr">
        <is>
          <t>DATA-04</t>
        </is>
      </c>
      <c r="B5" s="5" t="inlineStr">
        <is>
          <t>Mirroring the rate deck, with the negotiable flag riding inside</t>
        </is>
      </c>
      <c r="C5" s="5" t="inlineStr">
        <is>
          <t>happy</t>
        </is>
      </c>
      <c r="D5" s="5" t="inlineStr">
        <is>
          <t>APX-DATA-03, APX-DATA-01, APX-CORE-04</t>
        </is>
      </c>
      <c r="E5" s="5" t="inlineStr">
        <is>
          <t>Given the operator's call platform needs the deck. When it pulls /rates for the garage in mode=full once, then in mode=change with the cursor. Then the full list carries the standard deck and the flat $20 table with its apds-ext:apx:ratepolicy@1.0 decoration, and the change page carries only the corrected line on v8. The full-mode RateTable validates once the data overlay drops the two phantom required members (erratum 004), and the decoration lives in the extensions member the overlay declares on every APDS entity (erratum 010).</t>
        </is>
      </c>
      <c r="F5" s="5" t="inlineStr">
        <is>
          <t>GET /rates → 200
GET /rates → 200</t>
        </is>
      </c>
      <c r="G5" s="5">
        <f>IF(F5="",0,LEN(F5)-LEN(SUBSTITUTE(F5,CHAR(10),""))+1)</f>
        <v/>
      </c>
      <c r="H5" s="5" t="inlineStr"/>
    </row>
    <row r="6">
      <c r="A6" s="5" t="inlineStr">
        <is>
          <t>DATA-05</t>
        </is>
      </c>
      <c r="B6" s="5" t="inlineStr">
        <is>
          <t>The other two feed routes: places and assigned rights</t>
        </is>
      </c>
      <c r="C6" s="5" t="inlineStr">
        <is>
          <t>happy</t>
        </is>
      </c>
      <c r="D6" s="5" t="inlineStr">
        <is>
          <t>APX-DATA-03, APX-DATA-04</t>
        </is>
      </c>
      <c r="E6" s="5" t="inlineStr">
        <is>
          <t>Given the owner's BI platform holds cursors for /places and /rights/assigned. When it polls both in mode=change. Then the places page carries one item — the garage with only its demand table changed — and the assigned-rights page carries the monthly holder's renewed expiry plus a tombstone for a cancelled permit. Each feed is its own class, its own cursor, its own ordering.</t>
        </is>
      </c>
      <c r="F6" s="5" t="inlineStr">
        <is>
          <t>GET /places → 200
GET /rights/assigned → 200</t>
        </is>
      </c>
      <c r="G6" s="5">
        <f>IF(F6="",0,LEN(F6)-LEN(SUBSTITUTE(F6,CHAR(10),""))+1)</f>
        <v/>
      </c>
      <c r="H6" s="5" t="inlineStr"/>
    </row>
    <row r="7">
      <c r="A7" s="5" t="inlineStr">
        <is>
          <t>DATA-06</t>
        </is>
      </c>
      <c r="B7" s="5" t="inlineStr">
        <is>
          <t>The warehouse crashed mid-load: replay from the old cursor</t>
        </is>
      </c>
      <c r="C7" s="5" t="inlineStr">
        <is>
          <t>lifecycle</t>
        </is>
      </c>
      <c r="D7" s="5" t="inlineStr">
        <is>
          <t>APX-DATA-04</t>
        </is>
      </c>
      <c r="E7" s="5" t="inlineStr">
        <is>
          <t>Given the BI loader wrote cursor c:00042 to disk only after committing the page — and died between the two. When it restarts and replays from the cursor it last persisted, c:00041. Then the server returns exactly the page it returned in DATA-03: same item, same tombstone, same next cursor. Replaying an issued cursor yields every change after it exactly once; the loader's idempotent upsert makes the duplicate harmless.</t>
        </is>
      </c>
      <c r="F7" s="5" t="inlineStr">
        <is>
          <t>GET /sessions → 200</t>
        </is>
      </c>
      <c r="G7" s="5">
        <f>IF(F7="",0,LEN(F7)-LEN(SUBSTITUTE(F7,CHAR(10),""))+1)</f>
        <v/>
      </c>
      <c r="H7" s="5" t="inlineStr"/>
    </row>
    <row r="8">
      <c r="A8" s="5" t="inlineStr">
        <is>
          <t>DATA-07</t>
        </is>
      </c>
      <c r="B8" s="5" t="inlineStr">
        <is>
          <t>Back from a two-week outage: the cursor is too old</t>
        </is>
      </c>
      <c r="C8" s="5" t="inlineStr">
        <is>
          <t>refusal</t>
        </is>
      </c>
      <c r="D8" s="5" t="inlineStr">
        <is>
          <t>APX-DATA-05, APX-DATA-03</t>
        </is>
      </c>
      <c r="E8" s="5" t="inlineStr">
        <is>
          <t>Given the city platform was down from 8 to 24 September and still holds cursor c:00007, issued on the 8th. When it presents it. Then 404 target-not-found — the server retains seven days, the cursor is sixteen days old — and the platform re-syncs with mode=full before taking a fresh cursor. The cursor is an APX parameter, so the 404 the data overlay declares on the feed routes is always a Problem (Part 5 §5.2).</t>
        </is>
      </c>
      <c r="F8" s="5" t="inlineStr">
        <is>
          <t>GET /sessions → 404
GET /sessions → 200</t>
        </is>
      </c>
      <c r="G8" s="5">
        <f>IF(F8="",0,LEN(F8)-LEN(SUBSTITUTE(F8,CHAR(10),""))+1)</f>
        <v/>
      </c>
      <c r="H8" s="5" t="inlineStr"/>
    </row>
    <row r="9">
      <c r="A9" s="5" t="inlineStr">
        <is>
          <t>DATA-08</t>
        </is>
      </c>
      <c r="B9" s="5" t="inlineStr">
        <is>
          <t>A cursor from another filter set, and from another credential</t>
        </is>
      </c>
      <c r="C9" s="5" t="inlineStr">
        <is>
          <t>refusal</t>
        </is>
      </c>
      <c r="D9" s="5" t="inlineStr">
        <is>
          <t>APX-DATA-04, APX-DATA-05</t>
        </is>
      </c>
      <c r="E9" s="5" t="inlineStr">
        <is>
          <t>Given cursor c:00043 was issued to city-platform for the unfiltered sessions feed. When the same credential presents it with a place filter added, and then owner-bi presents it verbatim. Then both are 404 target-not-found: a cursor is scoped to (class, credential, filter set) and never composes across them (§5.2 rule 5). Same 404 as DATA-07.</t>
        </is>
      </c>
      <c r="F9" s="5" t="inlineStr">
        <is>
          <t>GET /sessions → 404
GET /sessions → 404</t>
        </is>
      </c>
      <c r="G9" s="5">
        <f>IF(F9="",0,LEN(F9)-LEN(SUBSTITUTE(F9,CHAR(10),""))+1)</f>
        <v/>
      </c>
      <c r="H9" s="5" t="inlineStr"/>
    </row>
    <row r="10">
      <c r="A10" s="5" t="inlineStr">
        <is>
          <t>DATA-09</t>
        </is>
      </c>
      <c r="B10" s="5" t="inlineStr">
        <is>
          <t>The city's grant grows: Marina Lot arrives as a grantAddition</t>
        </is>
      </c>
      <c r="C10" s="5" t="inlineStr">
        <is>
          <t>edge</t>
        </is>
      </c>
      <c r="D10" s="5" t="inlineStr">
        <is>
          <t>APX-DATA-06, APX-DATA-03, APX-DATA-04</t>
        </is>
      </c>
      <c r="E10" s="5" t="inlineStr">
        <is>
          <t>Given the operator adds Marina Lot to the city platform's apx_places grant overnight. When the platform polls /places with its existing cursor. Then the first page after the change carries grantAdditions naming the new subtree root — the cursor does not retroactively cover its history — and the platform runs a mode=full pull for that subtree before trusting the feed for it. The next page has no grantAdditions. The subtree pull uses the native place filter the data overlay adds to /places (subtree-inclusive, as on /sessions).</t>
        </is>
      </c>
      <c r="F10" s="5" t="inlineStr">
        <is>
          <t>GET /places → 200
GET /places → 200
GET /places → 200</t>
        </is>
      </c>
      <c r="G10" s="5">
        <f>IF(F10="",0,LEN(F10)-LEN(SUBSTITUTE(F10,CHAR(10),""))+1)</f>
        <v/>
      </c>
      <c r="H10" s="5" t="inlineStr"/>
    </row>
    <row r="11">
      <c r="A11" s="5" t="inlineStr">
        <is>
          <t>DATA-10</t>
        </is>
      </c>
      <c r="B11" s="5" t="inlineStr">
        <is>
          <t>The PARCS pushes a new session in full mode</t>
        </is>
      </c>
      <c r="C11" s="5" t="inlineStr">
        <is>
          <t>happy</t>
        </is>
      </c>
      <c r="D11" s="5" t="inlineStr">
        <is>
          <t>APX-DATA-01, APX-DATA-02, APX-CORE-03</t>
        </is>
      </c>
      <c r="E11" s="5" t="inlineStr">
        <is>
          <t>Given a car takes ticket T-1101 at the entry lane. When lakeside-parcs posts the session with a client-supplied id and no APX-Update-Mode header (so full, stock APDS behaviour). Then 201 with APDS's ResponseStatus, and a read shows the server-assigned initiator. The header is declared on the native PUTs only; a create always carries full state (Part 5 §5.1).</t>
        </is>
      </c>
      <c r="F11" s="5" t="inlineStr">
        <is>
          <t>POST /sessions → 201
GET /sessions/c4000000-0000-4000-8000-000000000101 → 200</t>
        </is>
      </c>
      <c r="G11" s="5">
        <f>IF(F11="",0,LEN(F11)-LEN(SUBSTITUTE(F11,CHAR(10),""))+1)</f>
        <v/>
      </c>
      <c r="H11" s="5" t="inlineStr"/>
    </row>
    <row r="12">
      <c r="A12" s="5" t="inlineStr">
        <is>
          <t>DATA-11</t>
        </is>
      </c>
      <c r="B12" s="5" t="inlineStr">
        <is>
          <t>The PARCS retries the same POST, and posts a broken one</t>
        </is>
      </c>
      <c r="C12" s="5" t="inlineStr">
        <is>
          <t>refusal</t>
        </is>
      </c>
      <c r="D12" s="5" t="inlineStr">
        <is>
          <t>APX-CORE-03, APX-DATA-01</t>
        </is>
      </c>
      <c r="E12" s="5" t="inlineStr">
        <is>
          <t>Given the PARCS never saw the 201 from DATA-10 and retries. When it re-posts the same client-supplied id, and separately posts a session with no actualStart. Then 409 with the conflicting id listed in ids (APDS convention; APX-CORE-03), and 400. Both keep the APDS ResponseStatus shape; with Accept: application/problem+json the same 409 is the registered id-collision problem (Part 5 §5.1a).</t>
        </is>
      </c>
      <c r="F12" s="5" t="inlineStr">
        <is>
          <t>POST /sessions → 409
POST /sessions → 400</t>
        </is>
      </c>
      <c r="G12" s="5">
        <f>IF(F12="",0,LEN(F12)-LEN(SUBSTITUTE(F12,CHAR(10),""))+1)</f>
        <v/>
      </c>
      <c r="H12" s="5" t="inlineStr"/>
    </row>
    <row r="13">
      <c r="A13" s="5" t="inlineStr">
        <is>
          <t>DATA-12</t>
        </is>
      </c>
      <c r="B13" s="5" t="inlineStr">
        <is>
          <t>Close the session with a change-mode PUT: absent means unchanged</t>
        </is>
      </c>
      <c r="C13" s="5" t="inlineStr">
        <is>
          <t>happy</t>
        </is>
      </c>
      <c r="D13" s="5" t="inlineStr">
        <is>
          <t>APX-DATA-02, APX-DATA-01</t>
        </is>
      </c>
      <c r="E13" s="5" t="inlineStr">
        <is>
          <t>Given T-1101 exits at 21:40. When the PARCS sends APX-Update-Mode: change with identity, actualEnd, and the closed segment — nothing else. Then 200, and a read shows version 2 with the credentials and vehicle exactly as before: absent meant unchanged. The change-mode body validates as a ChangePayload (Part 5 §5.1a), not as the full native Session.</t>
        </is>
      </c>
      <c r="F13" s="5" t="inlineStr">
        <is>
          <t>PUT /sessions/c4000000-0000-4000-8000-000000000101 → 200
GET /sessions/c4000000-0000-4000-8000-000000000101 → 200</t>
        </is>
      </c>
      <c r="G13" s="5">
        <f>IF(F13="",0,LEN(F13)-LEN(SUBSTITUTE(F13,CHAR(10),""))+1)</f>
        <v/>
      </c>
      <c r="H13" s="5" t="inlineStr"/>
    </row>
    <row r="14">
      <c r="A14" s="5" t="inlineStr">
        <is>
          <t>DATA-13</t>
        </is>
      </c>
      <c r="B14" s="5" t="inlineStr">
        <is>
          <t>Explicit null clears the vehicle description</t>
        </is>
      </c>
      <c r="C14" s="5" t="inlineStr">
        <is>
          <t>happy</t>
        </is>
      </c>
      <c r="D14" s="5" t="inlineStr">
        <is>
          <t>APX-DATA-02</t>
        </is>
      </c>
      <c r="E14" s="5" t="inlineStr">
        <is>
          <t>Given the attendant recorded the wrong car's colour on T-1101. When the PARCS sends a change-mode PUT with identifiedVehicle: null. Then 200, and the read shows version 3 with identifiedVehicle gone and every other field untouched. The body is a ChangePayload, whose members may be null (Part 5 §5.1a).</t>
        </is>
      </c>
      <c r="F14" s="5" t="inlineStr">
        <is>
          <t>PUT /sessions/c4000000-0000-4000-8000-000000000101 → 200
GET /sessions/c4000000-0000-4000-8000-000000000101 → 200</t>
        </is>
      </c>
      <c r="G14" s="5">
        <f>IF(F14="",0,LEN(F14)-LEN(SUBSTITUTE(F14,CHAR(10),""))+1)</f>
        <v/>
      </c>
      <c r="H14" s="5" t="inlineStr"/>
    </row>
    <row r="15">
      <c r="A15" s="5" t="inlineStr">
        <is>
          <t>DATA-14</t>
        </is>
      </c>
      <c r="B15" s="5" t="inlineStr">
        <is>
          <t>A stale version, in both error dialects</t>
        </is>
      </c>
      <c r="C15" s="5" t="inlineStr">
        <is>
          <t>refusal</t>
        </is>
      </c>
      <c r="D15" s="5" t="inlineStr">
        <is>
          <t>APX-DATA-02, APX-CORE-05</t>
        </is>
      </c>
      <c r="E15" s="5" t="inlineStr">
        <is>
          <t>Given a second PARCS node still believes T-1101 is at version 1. When it sends a change-mode PUT against version 1, first as a plain APDS client, then with Accept: application/problem+json. Then 409 both times: the APDS ResponseStatus, and the registered version-conflict problem. Both are declared on the native route: the problem is a second media type selected by Accept (Part 5 §5.1a). A PUT to an id that does not exist is 404, and a body with no identity is 400.</t>
        </is>
      </c>
      <c r="F15" s="5" t="inlineStr">
        <is>
          <t>PUT /sessions/c4000000-0000-4000-8000-000000000101 → 409
PUT /sessions/c4000000-0000-4000-8000-0000000000ff → 404
PUT /sessions/c4000000-0000-4000-8000-000000000101 → 400</t>
        </is>
      </c>
      <c r="G15" s="5">
        <f>IF(F15="",0,LEN(F15)-LEN(SUBSTITUTE(F15,CHAR(10),""))+1)</f>
        <v/>
      </c>
      <c r="H15" s="5" t="inlineStr"/>
    </row>
    <row r="16">
      <c r="A16" s="5" t="inlineStr">
        <is>
          <t>DATA-15</t>
        </is>
      </c>
      <c r="B16" s="5" t="inlineStr">
        <is>
          <t>Delete a duplicate session; the tombstone reaches every consumer</t>
        </is>
      </c>
      <c r="C16" s="5" t="inlineStr">
        <is>
          <t>lifecycle</t>
        </is>
      </c>
      <c r="D16" s="5" t="inlineStr">
        <is>
          <t>APX-DATA-05, APX-DATA-01, APX-DATA-03</t>
        </is>
      </c>
      <c r="E16" s="5" t="inlineStr">
        <is>
          <t>Given T-1101 was double-posted by a second PARCS node as c4…0102. When the operator deletes it, deletes it again, reads it, tries to delete the still-open c4…0044, and sends a malformed id. Then 200, then 404, then 404 on the read, then 409 (an open session cannot be deleted), then 400. The city's next change page carries the tombstone, retained for the same window as cursors.</t>
        </is>
      </c>
      <c r="F16" s="5" t="inlineStr">
        <is>
          <t>DELETE /sessions/c4000000-0000-4000-8000-000000000102 → 200
DELETE /sessions/c4000000-0000-4000-8000-000000000102 → 404
GET /sessions/c4000000-0000-4000-8000-000000000102 → 404
DELETE /sessions/c4000000-0000-4000-8000-000000000044 → 409
DELETE /sessions/T-1101 → 400
GET /sessions → 200</t>
        </is>
      </c>
      <c r="G16" s="5">
        <f>IF(F16="",0,LEN(F16)-LEN(SUBSTITUTE(F16,CHAR(10),""))+1)</f>
        <v/>
      </c>
      <c r="H16" s="5" t="inlineStr"/>
    </row>
    <row r="17">
      <c r="A17" s="5" t="inlineStr">
        <is>
          <t>DATA-16</t>
        </is>
      </c>
      <c r="B17" s="5" t="inlineStr">
        <is>
          <t>An aggregator imports Harbor Deck's level and keeps the source id</t>
        </is>
      </c>
      <c r="C17" s="5" t="inlineStr">
        <is>
          <t>happy</t>
        </is>
      </c>
      <c r="D17" s="5" t="inlineStr">
        <is>
          <t>APX-CORE-11, APX-DATA-01</t>
        </is>
      </c>
      <c r="E17" s="5" t="inlineStr">
        <is>
          <t>Given a regional aggregator onboards Harbor Deck, and the source implementation's id for its Level 1 collides with an element the aggregator already hosts. When the aggregator mints a fresh UUID and posts the element with the source id in operatorDefinedReference. Then 201, and the element reads back with the alias, so the city's stored keys can be migrated by lookup (Part 4 §4.1a, Part 18 §18.2).</t>
        </is>
      </c>
      <c r="F17" s="5" t="inlineStr">
        <is>
          <t>POST /places → 201
GET /places/b1000000-0000-4000-8000-000000000021 → 200</t>
        </is>
      </c>
      <c r="G17" s="5">
        <f>IF(F17="",0,LEN(F17)-LEN(SUBSTITUTE(F17,CHAR(10),""))+1)</f>
        <v/>
      </c>
      <c r="H17" s="5" t="inlineStr"/>
    </row>
    <row r="18">
      <c r="A18" s="5" t="inlineStr">
        <is>
          <t>DATA-17</t>
        </is>
      </c>
      <c r="B18" s="5" t="inlineStr">
        <is>
          <t>A vendor extension survives a full-mode PUT</t>
        </is>
      </c>
      <c r="C18" s="5" t="inlineStr">
        <is>
          <t>happy</t>
        </is>
      </c>
      <c r="D18" s="5" t="inlineStr">
        <is>
          <t>APX-CORE-04, APX-DATA-02</t>
        </is>
      </c>
      <c r="E18" s="5" t="inlineStr">
        <is>
          <t>Given the operator's loyalty vendor decorated the garage with apds-ext:acmecorp:loyalty@2.1, which the PARCS knows nothing about. When the PARCS updates the garage's name with a full-mode PUT that carries the container back verbatim, then reads it. Then 200, and the read shows version 8 with both the vendor key and the APX devicestatus decoration intact (tolerant reader, faithful writer). A key that breaks the §4.3 pattern is refused with 400. The data overlay declares extensions on the entity, so the pattern refusal has a schema behind it.</t>
        </is>
      </c>
      <c r="F18" s="5" t="inlineStr">
        <is>
          <t>PUT /places/b1000000-0000-4000-8000-000000000001 → 200
GET /places/b1000000-0000-4000-8000-000000000001 → 200
PUT /places/b1000000-0000-4000-8000-000000000001 → 400</t>
        </is>
      </c>
      <c r="G18" s="5">
        <f>IF(F18="",0,LEN(F18)-LEN(SUBSTITUTE(F18,CHAR(10),""))+1)</f>
        <v/>
      </c>
      <c r="H18" s="5" t="inlineStr"/>
    </row>
    <row r="19">
      <c r="A19" s="5" t="inlineStr">
        <is>
          <t>DATA-18</t>
        </is>
      </c>
      <c r="B19" s="5" t="inlineStr">
        <is>
          <t>Place writes the server turns away</t>
        </is>
      </c>
      <c r="C19" s="5" t="inlineStr">
        <is>
          <t>refusal</t>
        </is>
      </c>
      <c r="D19" s="5" t="inlineStr">
        <is>
          <t>APX-CORE-03, APX-DATA-01</t>
        </is>
      </c>
      <c r="E19" s="5" t="inlineStr">
        <is>
          <t>Given a PARCS release with a bad hierarchy sync. When it posts a place without a name, re-posts the garage's id, updates an id that does not exist, updates with a stale version, deletes the garage (which has children and open sessions), deletes a leaf space, deletes an unknown id, and deletes a malformed one. Then 400, 409, 404, 409, 409, 200, 404, and 400 — every code the three place operations declare.</t>
        </is>
      </c>
      <c r="F19" s="5" t="inlineStr">
        <is>
          <t>POST /places → 400
POST /places → 409
PUT /places/b1000000-0000-4000-8000-0000000000ff → 404
PUT /places/b1000000-0000-4000-8000-000000000011 → 409
DELETE /places/b1000000-0000-4000-8000-000000000001 → 409
DELETE /places/b1000000-0000-4000-8000-000000000117 → 200
DELETE /places/b1000000-0000-4000-8000-000000000117 → 404
DELETE /places/L2-017 → 400
GET /places/b1000000-0000-4000-8000-000000000117 → 404</t>
        </is>
      </c>
      <c r="G19" s="5">
        <f>IF(F19="",0,LEN(F19)-LEN(SUBSTITUTE(F19,CHAR(10),""))+1)</f>
        <v/>
      </c>
      <c r="H19" s="5" t="inlineStr"/>
    </row>
    <row r="20">
      <c r="A20" s="5" t="inlineStr">
        <is>
          <t>DATA-19</t>
        </is>
      </c>
      <c r="B20" s="5" t="inlineStr">
        <is>
          <t>Publish a one-night event table, correct it, retire it</t>
        </is>
      </c>
      <c r="C20" s="5" t="inlineStr">
        <is>
          <t>lifecycle</t>
        </is>
      </c>
      <c r="D20" s="5" t="inlineStr">
        <is>
          <t>APX-DATA-01, APX-DATA-02</t>
        </is>
      </c>
      <c r="E20" s="5" t="inlineStr">
        <is>
          <t>Given a concert on the 26th needs a flat $40 event rate. When the revenue manager posts the table, reads it, raises the value with a full-mode PUT, and deletes it the morning after. Then 200 (APDS declares 200, not 201, on this create — known APDS 4.1 behaviour, Part 5 §5.7), the table, 200, and 200.</t>
        </is>
      </c>
      <c r="F20" s="5" t="inlineStr">
        <is>
          <t>POST /rates → 200
GET /rates/d5000000-0000-4000-8000-000000000004 → 200
PUT /rates/d5000000-0000-4000-8000-000000000004 → 200
DELETE /rates/d5000000-0000-4000-8000-000000000004 → 200</t>
        </is>
      </c>
      <c r="G20" s="5">
        <f>IF(F20="",0,LEN(F20)-LEN(SUBSTITUTE(F20,CHAR(10),""))+1)</f>
        <v/>
      </c>
      <c r="H20" s="5" t="inlineStr"/>
    </row>
    <row r="21">
      <c r="A21" s="5" t="inlineStr">
        <is>
          <t>DATA-20</t>
        </is>
      </c>
      <c r="B21" s="5" t="inlineStr">
        <is>
          <t>Rate writes the server turns away</t>
        </is>
      </c>
      <c r="C21" s="5" t="inlineStr">
        <is>
          <t>refusal</t>
        </is>
      </c>
      <c r="D21" s="5" t="inlineStr">
        <is>
          <t>APX-DATA-02, APX-DATA-01</t>
        </is>
      </c>
      <c r="E21" s="5" t="inlineStr">
        <is>
          <t>Given the revenue tool is one version behind on the standard deck. When it updates v7 (current is v8), updates an unknown id, sends a table with no rate lines, deletes the standard deck (referenced by the transient right specification), deletes an unknown id, and deletes a malformed id. Then 409, 404, 400, 409, 404, 400, and the unknown read is 404.</t>
        </is>
      </c>
      <c r="F21" s="5" t="inlineStr">
        <is>
          <t>PUT /rates/d5000000-0000-4000-8000-000000000001 → 409
PUT /rates/d5000000-0000-4000-8000-0000000000ff → 404
PUT /rates/d5000000-0000-4000-8000-000000000001 → 400
DELETE /rates/d5000000-0000-4000-8000-000000000001 → 409
DELETE /rates/d5000000-0000-4000-8000-0000000000ff → 404
DELETE /rates/standard-deck → 400
GET /rates/d5000000-0000-4000-8000-0000000000ff → 404</t>
        </is>
      </c>
      <c r="G21" s="5">
        <f>IF(F21="",0,LEN(F21)-LEN(SUBSTITUTE(F21,CHAR(10),""))+1)</f>
        <v/>
      </c>
      <c r="H21" s="5" t="inlineStr"/>
    </row>
    <row r="22">
      <c r="A22" s="5" t="inlineStr">
        <is>
          <t>DATA-21</t>
        </is>
      </c>
      <c r="B22" s="5" t="inlineStr">
        <is>
          <t>A new monthly-permit product: right specification lifecycle</t>
        </is>
      </c>
      <c r="C22" s="5" t="inlineStr">
        <is>
          <t>lifecycle</t>
        </is>
      </c>
      <c r="D22" s="5" t="inlineStr">
        <is>
          <t>APX-DATA-01, APX-DATA-02</t>
        </is>
      </c>
      <c r="E22" s="5" t="inlineStr">
        <is>
          <t>Given the operator launches an "EV monthly" product on Level 2. When the PARCS posts the specification, lists specifications at the garage, reads it, extends its validity with a full-mode PUT, and — the product having flopped — deletes it. Then 201, a RightSpecificationList, the specification with its server-assigned issuer, 200, and 200.</t>
        </is>
      </c>
      <c r="F22" s="5" t="inlineStr">
        <is>
          <t>POST /rights/specs → 201
GET /rights/specs → 200
GET /rights/specs/e1000000-0000-4000-8000-000000000002 → 200
PUT /rights/specs/e1000000-0000-4000-8000-000000000002 → 200
DELETE /rights/specs/e1000000-0000-4000-8000-000000000002 → 200</t>
        </is>
      </c>
      <c r="G22" s="5">
        <f>IF(F22="",0,LEN(F22)-LEN(SUBSTITUTE(F22,CHAR(10),""))+1)</f>
        <v/>
      </c>
      <c r="H22" s="5" t="inlineStr"/>
    </row>
    <row r="23">
      <c r="A23" s="5" t="inlineStr">
        <is>
          <t>DATA-22</t>
        </is>
      </c>
      <c r="B23" s="5" t="inlineStr">
        <is>
          <t>Right-specification writes the server turns away</t>
        </is>
      </c>
      <c r="C23" s="5" t="inlineStr">
        <is>
          <t>refusal</t>
        </is>
      </c>
      <c r="D23" s="5" t="inlineStr">
        <is>
          <t>APX-DATA-02, APX-CORE-03</t>
        </is>
      </c>
      <c r="E23" s="5" t="inlineStr">
        <is>
          <t>Given the same PARCS release. When it posts a specification with no hierarchyElements, re-posts the monthly permit's id, updates an unknown id, updates the monthly permit at a stale version, deletes the monthly permit (which has 212 assigned rights outstanding), deletes an unknown id, and deletes a malformed id. Then 400, 409, 404, 409, 409, 404, 400, and an unknown read is 404.</t>
        </is>
      </c>
      <c r="F23" s="5" t="inlineStr">
        <is>
          <t>POST /rights/specs → 400
POST /rights/specs → 409
PUT /rights/specs/e1000000-0000-4000-8000-0000000000ff → 404
PUT /rights/specs/e1000000-0000-4000-8000-000000000001 → 409
PUT /rights/specs/e1000000-0000-4000-8000-000000000001 → 400
DELETE /rights/specs/e1000000-0000-4000-8000-000000000001 → 409
DELETE /rights/specs/e1000000-0000-4000-8000-0000000000ff → 404
DELETE /rights/specs/monthly → 400
GET /rights/specs/e1000000-0000-4000-8000-0000000000ff → 404</t>
        </is>
      </c>
      <c r="G23" s="5">
        <f>IF(F23="",0,LEN(F23)-LEN(SUBSTITUTE(F23,CHAR(10),""))+1)</f>
        <v/>
      </c>
      <c r="H23" s="5" t="inlineStr"/>
    </row>
    <row r="24">
      <c r="A24" s="5" t="inlineStr">
        <is>
          <t>DATA-23</t>
        </is>
      </c>
      <c r="B24" s="5" t="inlineStr">
        <is>
          <t>Issue a monthly permit, renew it, and the upsert PUT</t>
        </is>
      </c>
      <c r="C24" s="5" t="inlineStr">
        <is>
          <t>lifecycle</t>
        </is>
      </c>
      <c r="D24" s="5" t="inlineStr">
        <is>
          <t>APX-DATA-01, APX-DATA-02, APX-DATA-03</t>
        </is>
      </c>
      <c r="E24" s="5" t="inlineStr">
        <is>
          <t>Given a new tenant signs up for the monthly permit on plate SYN-5510. When the PARCS posts the assigned right, lists the garage's rights in mode=full, reads it, renews its expiry with a full-mode PUT, PUTs a right at an id the server has never seen (APDS declares 201 on this PUT: create-on-put, Part 5 §5.7), and finally deletes the never-used one. Then 201, an AssignedRightList, the right with its server-assigned assignedRightIssuer, 200, 201, and 200.</t>
        </is>
      </c>
      <c r="F24" s="5" t="inlineStr">
        <is>
          <t>POST /rights/assigned → 201
GET /rights/assigned → 200
GET /rights/assigned/e2000000-0000-4000-8000-000000000002 → 200
PUT /rights/assigned/e2000000-0000-4000-8000-000000000002 → 200
PUT /rights/assigned/e2000000-0000-4000-8000-000000000003 → 201
DELETE /rights/assigned/e2000000-0000-4000-8000-000000000003 → 200</t>
        </is>
      </c>
      <c r="G24" s="5">
        <f>IF(F24="",0,LEN(F24)-LEN(SUBSTITUTE(F24,CHAR(10),""))+1)</f>
        <v/>
      </c>
      <c r="H24" s="5" t="inlineStr"/>
    </row>
    <row r="25">
      <c r="A25" s="5" t="inlineStr">
        <is>
          <t>DATA-24</t>
        </is>
      </c>
      <c r="B25" s="5" t="inlineStr">
        <is>
          <t>Assigned-right writes the server turns away</t>
        </is>
      </c>
      <c r="C25" s="5" t="inlineStr">
        <is>
          <t>refusal</t>
        </is>
      </c>
      <c r="D25" s="5" t="inlineStr">
        <is>
          <t>APX-DATA-02, APX-CORE-03</t>
        </is>
      </c>
      <c r="E25" s="5" t="inlineStr">
        <is>
          <t>Given the same PARCS release. When it posts a right without a holder, re-posts e2…0002, updates a right whose body carries no specification, updates e2…0002 at a stale version, deletes the monthly holder's right while their session c4…0052 is in progress, deletes an unknown id, and deletes a malformed id. Then 400, 409, 400, 409, 409, 404, 400, and an unknown read is 404.</t>
        </is>
      </c>
      <c r="F25" s="5" t="inlineStr">
        <is>
          <t>POST /rights/assigned → 400
POST /rights/assigned → 409
PUT /rights/assigned/e2000000-0000-4000-8000-000000000002 → 400
PUT /rights/assigned/e2000000-0000-4000-8000-000000000002 → 409
DELETE /rights/assigned/e2000000-0000-4000-8000-000000000001 → 409
DELETE /rights/assigned/e2000000-0000-4000-8000-0000000000ff → 404
DELETE /rights/assigned/MC-0777 → 400
GET /rights/assigned/e2000000-0000-4000-8000-0000000000ff → 404</t>
        </is>
      </c>
      <c r="G25" s="5">
        <f>IF(F25="",0,LEN(F25)-LEN(SUBSTITUTE(F25,CHAR(10),""))+1)</f>
        <v/>
      </c>
      <c r="H25" s="5" t="inlineStr"/>
    </row>
    <row r="26">
      <c r="A26" s="5" t="inlineStr">
        <is>
          <t>DATA-25</t>
        </is>
      </c>
      <c r="B26" s="5" t="inlineStr">
        <is>
          <t>The contact directory: who to call about the garage</t>
        </is>
      </c>
      <c r="C26" s="5" t="inlineStr">
        <is>
          <t>lifecycle</t>
        </is>
      </c>
      <c r="D26" s="5" t="inlineStr">
        <is>
          <t>APX-DATA-01, APX-DATA-02</t>
        </is>
      </c>
      <c r="E26" s="5" t="inlineStr">
        <is>
          <t>Given the city's platform shows a "contact operator" button. When it lists operator contacts, the operator adds a 24-hour customer-service contact, the city reads it, the operator corrects the number with a full-mode PUT, and later retires it. Then a paginated list, 201, the ContactPoint, 200, and 200.</t>
        </is>
      </c>
      <c r="F26" s="5" t="inlineStr">
        <is>
          <t>GET /contacts → 200
POST /contacts → 201
GET /contacts/a1000000-0000-4000-8000-000000000003 → 200
PUT /contacts/a1000000-0000-4000-8000-000000000003 → 200
DELETE /contacts/a1000000-0000-4000-8000-000000000003 → 200</t>
        </is>
      </c>
      <c r="G26" s="5">
        <f>IF(F26="",0,LEN(F26)-LEN(SUBSTITUTE(F26,CHAR(10),""))+1)</f>
        <v/>
      </c>
      <c r="H26" s="5" t="inlineStr"/>
    </row>
    <row r="27">
      <c r="A27" s="5" t="inlineStr">
        <is>
          <t>DATA-26</t>
        </is>
      </c>
      <c r="B27" s="5" t="inlineStr">
        <is>
          <t>Contact writes refused, and the directory database down at 2 am</t>
        </is>
      </c>
      <c r="C27" s="5" t="inlineStr">
        <is>
          <t>edge</t>
        </is>
      </c>
      <c r="D27" s="5" t="inlineStr">
        <is>
          <t>APX-DATA-01</t>
        </is>
      </c>
      <c r="E27" s="5" t="inlineStr">
        <is>
          <t>Given the operator's CRM sync misbehaves during a maintenance window. When it posts a contact without a type, re-posts the operator's own id, updates and deletes an unknown id, deletes the operator contact (referenced by every place), and then the directory database goes away. Then 400, 409, 404, 404, 409 — and 500 from both contact reads, the only APDS operations in this class that declare it (Part 5 §5.7).</t>
        </is>
      </c>
      <c r="F27" s="5" t="inlineStr">
        <is>
          <t>POST /contacts → 400
POST /contacts → 409
PUT /contacts/a1000000-0000-4000-8000-0000000000ff → 404
DELETE /contacts/a1000000-0000-4000-8000-0000000000ff → 404
DELETE /contacts/a1000000-0000-4000-8000-000000000001 → 409
GET /contacts/a1000000-0000-4000-8000-0000000000ff → 404
GET /contacts → 500
GET /contacts/a1000000-0000-4000-8000-000000000001 → 500</t>
        </is>
      </c>
      <c r="G27" s="5">
        <f>IF(F27="",0,LEN(F27)-LEN(SUBSTITUTE(F27,CHAR(10),""))+1)</f>
        <v/>
      </c>
      <c r="H27" s="5" t="inlineStr"/>
    </row>
    <row r="28">
      <c r="A28" s="5" t="inlineStr">
        <is>
          <t>DATA-27</t>
        </is>
      </c>
      <c r="B28" s="5" t="inlineStr">
        <is>
          <t>Plate reads: ingest, query, and stream</t>
        </is>
      </c>
      <c r="C28" s="5" t="inlineStr">
        <is>
          <t>happy</t>
        </is>
      </c>
      <c r="D28" s="5" t="inlineStr">
        <is>
          <t>APX-DATA-01, APX-DATA-03</t>
        </is>
      </c>
      <c r="E28" s="5" t="inlineStr">
        <is>
          <t>Given the LPR camera at exit lane 2 reads SYN-1234. When the PARCS posts the observation, the BI platform queries the lane's reads since 18:00, the same read is delivered as apx.data.observation.created.v1, and the BI platform then asks the observations route for a change feed as Scenario 07 and Part 13 §13.4 promise. Then 201 ResponseStatus (declared by the data overlay, erratum 005; the element's type is its credential type, since the overlay drops the colliding wrapper discriminator, erratum 006), a paginated list, a signed envelope whose data is the ObservationElement, and a ChangeFeedPage (Part 5 §5.2 now covers /observations).</t>
        </is>
      </c>
      <c r="F28" s="5" t="inlineStr">
        <is>
          <t>POST /observations → 201
GET /observations → 200
GET /observations → 200</t>
        </is>
      </c>
      <c r="G28" s="5">
        <f>IF(F28="",0,LEN(F28)-LEN(SUBSTITUTE(F28,CHAR(10),""))+1)</f>
        <v/>
      </c>
      <c r="H28" s="5" t="inlineStr"/>
    </row>
    <row r="29">
      <c r="A29" s="5" t="inlineStr">
        <is>
          <t>DATA-28</t>
        </is>
      </c>
      <c r="B29" s="5" t="inlineStr">
        <is>
          <t>A reservation channel asks for a quote</t>
        </is>
      </c>
      <c r="C29" s="5" t="inlineStr">
        <is>
          <t>happy</t>
        </is>
      </c>
      <c r="D29" s="5" t="inlineStr">
        <is>
          <t>APX-DATA-01</t>
        </is>
      </c>
      <c r="E29" s="5" t="inlineStr">
        <is>
          <t>Given a booking site wants the price of a Saturday stay on the transient product. When it posts a QuoteRightRequest and later reads the quote response back by type. Then a paginated list with one QuoteRightResponse, and the same response as a single object. The data overlay declares the request body APDS omits (erratum 007); GET /quotes returns the single matching quote, as vendored (Part 5 §5.7).</t>
        </is>
      </c>
      <c r="F29" s="5" t="inlineStr">
        <is>
          <t>POST /quotes → 200
GET /quotes → 200</t>
        </is>
      </c>
      <c r="G29" s="5">
        <f>IF(F29="",0,LEN(F29)-LEN(SUBSTITUTE(F29,CHAR(10),""))+1)</f>
        <v/>
      </c>
      <c r="H29" s="5" t="inlineStr"/>
    </row>
    <row r="30">
      <c r="A30" s="5" t="inlineStr">
        <is>
          <t>DATA-29</t>
        </is>
      </c>
      <c r="B30" s="5" t="inlineStr">
        <is>
          <t>How full is it right now</t>
        </is>
      </c>
      <c r="C30" s="5" t="inlineStr">
        <is>
          <t>happy</t>
        </is>
      </c>
      <c r="D30" s="5" t="inlineStr">
        <is>
          <t>APX-DATA-08, APX-DATA-01</t>
        </is>
      </c>
      <c r="E30" s="5" t="inlineStr">
        <is>
          <t>Given the owner's dashboard wants one number, not the hierarchy. When it reads the garage's occupancy, then Level 2's (where the implementation counts supply but has no sensor demand), then an element that does not exist. Then a snapshot with available derived from the same Supply and DemandType the Place payload in DATA-01 carries, a snapshot with available: null and no demand, and 404. At 17:52 the garage crosses 90 percent and apx.data.occupancy.v1 is published.</t>
        </is>
      </c>
      <c r="F30" s="5" t="inlineStr">
        <is>
          <t>GET /v1/places/b1000000-0000-4000-8000-000000000001/occupancy → 200
GET /v1/places/b1000000-0000-4000-8000-000000000011/occupancy → 200
GET /v1/places/b1000000-0000-4000-8000-0000000000ff/occupancy → 404</t>
        </is>
      </c>
      <c r="G30" s="5">
        <f>IF(F30="",0,LEN(F30)-LEN(SUBSTITUTE(F30,CHAR(10),""))+1)</f>
        <v/>
      </c>
      <c r="H30" s="5" t="inlineStr"/>
    </row>
    <row r="31">
      <c r="A31" s="5" t="inlineStr">
        <is>
          <t>DATA-30</t>
        </is>
      </c>
      <c r="B31" s="5" t="inlineStr">
        <is>
          <t>Wrong scope, wrong grant, no grant</t>
        </is>
      </c>
      <c r="C31" s="5" t="inlineStr">
        <is>
          <t>security</t>
        </is>
      </c>
      <c r="D31" s="5" t="inlineStr">
        <is>
          <t>APX-CORE-07, APX-CORE-08, APX-CORE-05, APX-DATA-08</t>
        </is>
      </c>
      <c r="E31" s="5" t="inlineStr">
        <is>
          <t>Given three tokens. When the read-only city-platform posts a session; lakeside-parcs (granted Lakeside only) reads Harbor Deck and its occupancy; and a token with no apx_places claim lists places. Then 403 insufficient-scope, 403 insufficient-grant twice, and 403 insufficient-grant (fail-closed: no claim, no places). Every native route now declares the shared 403 through the data overlay.</t>
        </is>
      </c>
      <c r="F31" s="5" t="inlineStr">
        <is>
          <t>POST /sessions → 403
GET /places/b1000000-0000-4000-8000-000000000002 → 403
GET /v1/places/b1000000-0000-4000-8000-000000000002/occupancy → 403
GET /places → 403</t>
        </is>
      </c>
      <c r="G31" s="5">
        <f>IF(F31="",0,LEN(F31)-LEN(SUBSTITUTE(F31,CHAR(10),""))+1)</f>
        <v/>
      </c>
      <c r="H31" s="5" t="inlineStr"/>
    </row>
    <row r="32">
      <c r="A32" s="5" t="inlineStr">
        <is>
          <t>DATA-31</t>
        </is>
      </c>
      <c r="B32" s="5" t="inlineStr">
        <is>
          <t>Push wakes the puller: SessionCreated, then the cursor</t>
        </is>
      </c>
      <c r="C32" s="5" t="inlineStr">
        <is>
          <t>happy</t>
        </is>
      </c>
      <c r="D32" s="5" t="inlineStr">
        <is>
          <t>APX-DATA-03, APX-DATA-04, APX-CORE-01</t>
        </is>
      </c>
      <c r="E32" s="5" t="inlineStr">
        <is>
          <t>Given the city platform subscribed to the APDS SessionCreated topic and holds cursor c:00046. When T-1104 enters and the envelope arrives with the APDS EventData (here a Session) in data. Then the platform treats the delivery as a wake-up and pulls mode=change, which is the exactly-once path (§5.4); the page carries the same session. EventData and EventTypeEnum are in the bundle (the apx-native-event webhook references them), so data is validated as EventData.</t>
        </is>
      </c>
      <c r="F32" s="5" t="inlineStr">
        <is>
          <t>GET /sessions → 200</t>
        </is>
      </c>
      <c r="G32" s="5">
        <f>IF(F32="",0,LEN(F32)-LEN(SUBSTITUTE(F32,CHAR(10),""))+1)</f>
        <v/>
      </c>
      <c r="H32" s="5" t="inlineStr"/>
    </row>
    <row r="33">
      <c r="A33" s="5" t="inlineStr">
        <is>
          <t>DATA-32</t>
        </is>
      </c>
      <c r="B33" s="5" t="inlineStr">
        <is>
          <t>Every native route answers a bad token, a thin token, and a flood</t>
        </is>
      </c>
      <c r="C33" s="5" t="inlineStr">
        <is>
          <t>security</t>
        </is>
      </c>
      <c r="D33" s="5" t="inlineStr">
        <is>
          <t>APX-DATA-01, APX-CORE-07, APX-CORE-05</t>
        </is>
      </c>
      <c r="E33" s="5" t="inlineStr">
        <is>
          <t>Given the data overlay now declares the shared 401, 403, and 429 on every native APDS operation (Part 5 §5.6, Part 12 §12.3). When a warehouse loader runs with an expired token, then with a token that carries only apx.alerts:read, then without back-off. Then every route answers unauthenticated, insufficient-scope, and rate-limited problems — the APX error dialect, since none of these has an APDS ResponseStatus equivalent. Write bodies are the ones used earlier in this file (compacted); a PUT carries the smallest change payload, identity only. Expired token (Authorization: Bearer &lt;expired&gt;):</t>
        </is>
      </c>
      <c r="F33" s="5" t="inlineStr">
        <is>
          <t>GET /places → 401
POST /places → 401
GET /places/b1000000-0000-4000-8000-000000000001 → 401
PUT /places/b1000000-0000-4000-8000-000000000001 → 401
DELETE /places/b1000000-0000-4000-8000-000000000001 → 401
GET /observations → 401
POST /observations → 401
GET /contacts → 401
POST /contacts → 401
GET /contacts/a1000000-0000-4000-8000-000000000003 → 401
PUT /contacts/a1000000-0000-4000-8000-000000000003 → 401
DELETE /contacts/a1000000-0000-4000-8000-000000000003 → 401
GET /rights/specs → 401
POST /rights/specs → 401
GET /rights/specs/e1000000-0000-4000-8000-000000000002 → 401
PUT /rights/specs/e1000000-0000-4000-8000-000000000002 → 401
DELETE /rights/specs/e1000000-0000-4000-8000-000000000002 → 401
GET /rates → 401
POST /rates → 401
GET /rates/d5000000-0000-4000-8000-000000000001 → 401
PUT /rates/d5000000-0000-4000-8000-000000000001 → 401
DELETE /rates/d5000000-0000-4000-8000-000000000001 → 401
GET /sessions → 401
POST /sessions → 401
GET /sessions/c4000000-0000-4000-8000-000000000101 → 401
PUT /sessions/c4000000-0000-4000-8000-000000000101 → 401
DELETE /sessions/c4000000-0000-4000-8000-000000000101 → 401
GET /rights/assigned → 401
POST /rights/assigned → 401
GET /rights/assigned/e2000000-0000-4000-8000-000000000002 → 401
PUT /rights/assigned/e2000000-0000-4000-8000-000000000002 → 401
DELETE /rights/assigned/e2000000-0000-4000-8000-000000000002 → 401
GET /quotes → 401
POST /quotes → 401
GET /v1/places/b1000000-0000-4000-8000-000000000001/occupancy → 401
POST /places → 403
PUT /places/b1000000-0000-4000-8000-000000000001 → 403
DELETE /places/b1000000-0000-4000-8000-000000000001 → 403
GET /observations → 403
POST /observations → 403
GET /contacts → 403
POST /contacts → 403
GET /contacts/a1000000-0000-4000-8000-000000000003 → 403
PUT /contacts/a1000000-0000-4000-8000-000000000003 → 403
DELETE /contacts/a1000000-0000-4000-8000-000000000003 → 403
GET /rights/specs → 403
POST /rights/specs → 403
GET /rights/specs/e1000000-0000-4000-8000-000000000002 → 403
PUT /rights/specs/e1000000-0000-4000-8000-000000000002 → 403
DELETE /rights/specs/e1000000-0000-4000-8000-000000000002 → 403
GET /rates → 403
POST /rates → 403
GET /rates/d5000000-0000-4000-8000-000000000001 → 403
PUT /rates/d5000000-0000-4000-8000-000000000001 → 403
DELETE /rates/d5000000-0000-4000-8000-000000000001 → 403
GET /sessions → 403
GET /sessions/c4000000-0000-4000-8000-000000000101 → 403
PUT /sessions/c4000000-0000-4000-8000-000000000101 → 403
DELETE /sessions/c4000000-0000-4000-8000-000000000101 → 403
GET /rights/assigned → 403
POST /rights/assigned → 403
GET /rights/assigned/e2000000-0000-4000-8000-000000000002 → 403
PUT /rights/assigned/e2000000-0000-4000-8000-000000000002 → 403
DELETE /rights/assigned/e2000000-0000-4000-8000-000000000002 → 403
GET /quotes → 403
POST /quotes → 403
GET /places → 429
POST /places → 429
GET /places/b1000000-0000-4000-8000-000000000001 → 429
PUT /places/b1000000-0000-4000-8000-000000000001 → 429
DELETE /places/b1000000-0000-4000-8000-000000000001 → 429
GET /observations → 429
POST /observations → 429
GET /contacts → 429
POST /contacts → 429
GET /contacts/a1000000-0000-4000-8000-000000000003 → 429
PUT /contacts/a1000000-0000-4000-8000-000000000003 → 429
DELETE /contacts/a1000000-0000-4000-8000-000000000003 → 429
GET /rights/specs → 429
POST /rights/specs → 429
GET /rights/specs/e1000000-0000-4000-8000-000000000002 → 429
PUT /rights/specs/e1000000-0000-4000-8000-000000000002 → 429
DELETE /rights/specs/e1000000-0000-4000-8000-000000000002 → 429
GET /rates → 429
POST /rates → 429
GET /rates/d5000000-0000-4000-8000-000000000001 → 429
PUT /rates/d5000000-0000-4000-8000-000000000001 → 429
DELETE /rates/d5000000-0000-4000-8000-000000000001 → 429
GET /sessions → 429
POST /sessions → 429
GET /sessions/c4000000-0000-4000-8000-000000000101 → 429
PUT /sessions/c4000000-0000-4000-8000-000000000101 → 429
DELETE /sessions/c4000000-0000-4000-8000-000000000101 → 429
GET /rights/assigned → 429
POST /rights/assigned → 429
GET /rights/assigned/e2000000-0000-4000-8000-000000000002 → 429
PUT /rights/assigned/e2000000-0000-4000-8000-000000000002 → 429
DELETE /rights/assigned/e2000000-0000-4000-8000-000000000002 → 429
GET /quotes → 429
POST /quotes → 429
GET /v1/places/b1000000-0000-4000-8000-000000000001/occupancy → 429</t>
        </is>
      </c>
      <c r="G33" s="5">
        <f>IF(F33="",0,LEN(F33)-LEN(SUBSTITUTE(F33,CHAR(10),""))+1)</f>
        <v/>
      </c>
      <c r="H33" s="5" t="inlineStr"/>
    </row>
    <row r="34">
      <c r="A34" s="5" t="inlineStr">
        <is>
          <t>DATA-33</t>
        </is>
      </c>
      <c r="B34" s="5" t="inlineStr">
        <is>
          <t>Stale cursors on every feed, and the refusals APDS forgot to declare</t>
        </is>
      </c>
      <c r="C34" s="5" t="inlineStr">
        <is>
          <t>refusal</t>
        </is>
      </c>
      <c r="D34" s="5" t="inlineStr">
        <is>
          <t>APX-DATA-05, APX-DATA-03, APX-DATA-01</t>
        </is>
      </c>
      <c r="E34" s="5" t="inlineStr">
        <is>
          <t>Given the BI platform's cursors for places, rates, assigned rights, and observations all predate the 7-day window, and a PARCS that sends a broken observation, a duplicate observation, a broken rate table, a duplicate rate table, and an update to an assigned right that does not exist. Then 404 target-not-found on each feed (Part 5 §5.2 rule 2), and the APDS ResponseStatus 400/409/404 that the data overlay now declares on POST /observations, POST /rates, and PUT /rights/assigned/{id} (APX errata 005 and 012).</t>
        </is>
      </c>
      <c r="F34" s="5" t="inlineStr">
        <is>
          <t>GET /places → 404
GET /rates → 404
GET /rights/assigned → 404
GET /observations → 404
POST /observations → 400
POST /observations → 409
POST /rates → 400
POST /rates → 409
PUT /rights/assigned/e2000000-0000-4000-8000-0000000000fe → 404</t>
        </is>
      </c>
      <c r="G34" s="5">
        <f>IF(F34="",0,LEN(F34)-LEN(SUBSTITUTE(F34,CHAR(10),""))+1)</f>
        <v/>
      </c>
      <c r="H34" s="5"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1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4" customWidth="1" min="2" max="2"/>
    <col width="11" customWidth="1" min="3" max="3"/>
    <col width="26" customWidth="1" min="4" max="4"/>
    <col width="90" customWidth="1" min="5" max="5"/>
    <col width="52" customWidth="1" min="6" max="6"/>
    <col width="10" customWidth="1" min="7" max="7"/>
    <col width="14" customWidth="1" min="8" max="8"/>
  </cols>
  <sheetData>
    <row r="1">
      <c r="A1" s="3" t="inlineStr">
        <is>
          <t>ID</t>
        </is>
      </c>
      <c r="B1" s="3" t="inlineStr">
        <is>
          <t>Title</t>
        </is>
      </c>
      <c r="C1" s="3" t="inlineStr">
        <is>
          <t>Kind</t>
        </is>
      </c>
      <c r="D1" s="3" t="inlineStr">
        <is>
          <t>Annex A rows</t>
        </is>
      </c>
      <c r="E1" s="3" t="inlineStr">
        <is>
          <t>Scenario (Given / When / Then)</t>
        </is>
      </c>
      <c r="F1" s="3" t="inlineStr">
        <is>
          <t>Exchanges (request → status)</t>
        </is>
      </c>
      <c r="G1" s="3" t="inlineStr">
        <is>
          <t>Exchange count</t>
        </is>
      </c>
      <c r="H1" s="3" t="inlineStr">
        <is>
          <t>Open spec gap</t>
        </is>
      </c>
    </row>
    <row r="2">
      <c r="A2" s="5" t="inlineStr">
        <is>
          <t>DSC-01</t>
        </is>
      </c>
      <c r="B2" s="5" t="inlineStr">
        <is>
          <t>A client with nothing but a hostname</t>
        </is>
      </c>
      <c r="C2" s="5" t="inlineStr">
        <is>
          <t>happy</t>
        </is>
      </c>
      <c r="D2" s="5" t="inlineStr">
        <is>
          <t>APX-CORE-09, APX-CORE-06, APX-CORE-12</t>
        </is>
      </c>
      <c r="E2" s="5" t="inlineStr">
        <is>
          <t>Given a new integrator who has been told only "api.lakeside-garage.example". When they fetch /.well-known/apx-configuration at the host root with no credentials. Then they get the token endpoint, the APDS version, the claimed classes, and the registry locations, and can start the OAuth2 client-credentials flow. Harbor Deck's own PARCS starter host answers the same request with the three-class minimum. Lakeside's document also says which edition and which registry versions it validates against, and which optional features it offers (Part 16 §16.1; F-DSC-05 and F-DSC-01 fixed — the members land in ApxConfiguration when the integrator points the component at the discovery domain schema).</t>
        </is>
      </c>
      <c r="F2" s="5" t="inlineStr">
        <is>
          <t>GET /.well-known/apx-configuration → 200
GET /.well-known/apx-configuration → 200</t>
        </is>
      </c>
      <c r="G2" s="5">
        <f>IF(F2="",0,LEN(F2)-LEN(SUBSTITUTE(F2,CHAR(10),""))+1)</f>
        <v/>
      </c>
      <c r="H2" s="5" t="inlineStr"/>
    </row>
    <row r="3">
      <c r="A3" s="5" t="inlineStr">
        <is>
          <t>DSC-02</t>
        </is>
      </c>
      <c r="B3" s="5" t="inlineStr">
        <is>
          <t>The console bootstraps: token, then its own capability document</t>
        </is>
      </c>
      <c r="C3" s="5" t="inlineStr">
        <is>
          <t>happy</t>
        </is>
      </c>
      <c r="D3" s="5" t="inlineStr">
        <is>
          <t>APX-DSC-01, APX-DSC-02, APX-DSC-04, APX-CORE-06</t>
        </is>
      </c>
      <c r="E3" s="5" t="inlineStr">
        <is>
          <t>Given the console has exchanged its client credentials at the token endpoint from DSC-01 and holds a JWT with apx_org a1…0001 and apx_places ["b1…0001"]. When it calls GET /v1/discovery. Then the document names the client, reflects the scopes, org, and places exactly, lists the classes the token can use (the host's eight minus apx-alerts and apx-lpr, which no scope reaches), the concrete endpoints, all fifteen command types including the two optional-feature commands the host supports, the topics it may subscribe to, and advisory limits. The response is private and cacheable for five minutes.</t>
        </is>
      </c>
      <c r="F3" s="5" t="inlineStr">
        <is>
          <t>GET /v1/discovery → 200</t>
        </is>
      </c>
      <c r="G3" s="5">
        <f>IF(F3="",0,LEN(F3)-LEN(SUBSTITUTE(F3,CHAR(10),""))+1)</f>
        <v/>
      </c>
      <c r="H3" s="5" t="inlineStr"/>
    </row>
    <row r="4">
      <c r="A4" s="5" t="inlineStr">
        <is>
          <t>DSC-03</t>
        </is>
      </c>
      <c r="B4" s="5" t="inlineStr">
        <is>
          <t>Two clients, two documents</t>
        </is>
      </c>
      <c r="C4" s="5" t="inlineStr">
        <is>
          <t>happy</t>
        </is>
      </c>
      <c r="D4" s="5" t="inlineStr">
        <is>
          <t>APX-DSC-03, APX-DSC-01</t>
        </is>
      </c>
      <c r="E4" s="5" t="inlineStr">
        <is>
          <t>Given CityPark Analytics holds a read-only token on both garages. When it calls the same GET /v1/discovery on the same host, a minute after the console did. Then its document differs in every credential-derived member: another client id and organisation, two place roots, only the data and event classes, no control endpoints, an explicitly empty commandTypes, and only the topics a data reader may take.</t>
        </is>
      </c>
      <c r="F4" s="5" t="inlineStr">
        <is>
          <t>GET /v1/discovery → 200</t>
        </is>
      </c>
      <c r="G4" s="5">
        <f>IF(F4="",0,LEN(F4)-LEN(SUBSTITUTE(F4,CHAR(10),""))+1)</f>
        <v/>
      </c>
      <c r="H4" s="5" t="inlineStr"/>
    </row>
    <row r="5">
      <c r="A5" s="5" t="inlineStr">
        <is>
          <t>DSC-04</t>
        </is>
      </c>
      <c r="B5" s="5" t="inlineStr">
        <is>
          <t>The document is a promise, not advertising</t>
        </is>
      </c>
      <c r="C5" s="5" t="inlineStr">
        <is>
          <t>security</t>
        </is>
      </c>
      <c r="D5" s="5" t="inlineStr">
        <is>
          <t>APX-DSC-02, APX-CORE-07</t>
        </is>
      </c>
      <c r="E5" s="5" t="inlineStr">
        <is>
          <t>Given the console's document from DSC-02 lists no /v1/alerts and no /v1/lpr/reads. When a console developer "just tries" both, and then uses a listed endpoint (POST /v1/commands) against Harbor Deck's exit lane. Then the two unlisted endpoints fail 403 insufficient-scope, and the listed one fails 403 insufficient-grant: soundness covers the endpoint, the grant still bounds the inputs.</t>
        </is>
      </c>
      <c r="F5" s="5" t="inlineStr">
        <is>
          <t>GET /v1/alerts → 403
GET /v1/lpr/reads → 403
POST /v1/commands → 403</t>
        </is>
      </c>
      <c r="G5" s="5">
        <f>IF(F5="",0,LEN(F5)-LEN(SUBSTITUTE(F5,CHAR(10),""))+1)</f>
        <v/>
      </c>
      <c r="H5" s="5" t="inlineStr"/>
    </row>
    <row r="6">
      <c r="A6" s="5" t="inlineStr">
        <is>
          <t>DSC-05</t>
        </is>
      </c>
      <c r="B6" s="5" t="inlineStr">
        <is>
          <t>An endpoint of a class the host does not claim</t>
        </is>
      </c>
      <c r="C6" s="5" t="inlineStr">
        <is>
          <t>refusal</t>
        </is>
      </c>
      <c r="D6" s="5" t="inlineStr">
        <is>
          <t>APX-DSC-02</t>
        </is>
      </c>
      <c r="E6" s="5" t="inlineStr">
        <is>
          <t>Given the host claims no apx-valet. When a valet-app developer who has the console credential calls the valet queue for Lakeside. Then 404 target-not-found: an endpoint of a class the server does not claim is not there, while an endpoint it implements but the token's scopes do not cover is 403 insufficient-scope (DSC-04). Part 9 §9.3a settles it and Part 16 §16.2 and APX-DSC-02 now say the same (F-DSC-02 fixed; no new problem type needed).</t>
        </is>
      </c>
      <c r="F6" s="5" t="inlineStr">
        <is>
          <t>GET /v1/valet/queue → 404</t>
        </is>
      </c>
      <c r="G6" s="5">
        <f>IF(F6="",0,LEN(F6)-LEN(SUBSTITUTE(F6,CHAR(10),""))+1)</f>
        <v/>
      </c>
      <c r="H6" s="5" t="inlineStr"/>
    </row>
    <row r="7">
      <c r="A7" s="5" t="inlineStr">
        <is>
          <t>DSC-06</t>
        </is>
      </c>
      <c r="B7" s="5" t="inlineStr">
        <is>
          <t>The explicit wildcard, and the token with no places at all</t>
        </is>
      </c>
      <c r="C7" s="5" t="inlineStr">
        <is>
          <t>security</t>
        </is>
      </c>
      <c r="D7" s="5" t="inlineStr">
        <is>
          <t>APX-CORE-08, APX-DSC-01</t>
        </is>
      </c>
      <c r="E7" s="5" t="inlineStr">
        <is>
          <t>Given two tokens minted the same morning: Lakeside's operations client with the deliberate apx_places: ["*"], and a trial IVR client whose registration forgot the claim entirely. When each calls discovery. Then the first document carries the single wildcard entry and every data and alert endpoint; the second reflects no places and, fail-closed, lists only what can succeed without one. A missing claim is reflected as places: [], never an absent member, and "callable" means callable for at least one target inside the granted places, so the place-targeting routes are left out (Part 16 §16.2; F-DSC-09 fixed).</t>
        </is>
      </c>
      <c r="F7" s="5" t="inlineStr">
        <is>
          <t>GET /v1/discovery → 200
GET /v1/discovery → 200</t>
        </is>
      </c>
      <c r="G7" s="5">
        <f>IF(F7="",0,LEN(F7)-LEN(SUBSTITUTE(F7,CHAR(10),""))+1)</f>
        <v/>
      </c>
      <c r="H7" s="5" t="inlineStr"/>
    </row>
    <row r="8">
      <c r="A8" s="5" t="inlineStr">
        <is>
          <t>DSC-07</t>
        </is>
      </c>
      <c r="B8" s="5" t="inlineStr">
        <is>
          <t>Discovery without a usable token</t>
        </is>
      </c>
      <c r="C8" s="5" t="inlineStr">
        <is>
          <t>refusal</t>
        </is>
      </c>
      <c r="D8" s="5" t="inlineStr">
        <is>
          <t>APX-CORE-06</t>
        </is>
      </c>
      <c r="E8" s="5" t="inlineStr">
        <is>
          <t>Given a script that calls /v1/discovery before it has fetched a token, and a dashboard whose token expired overnight. When each calls. Then 401 unauthenticated both times (Part 12; F-DSC-03 fixed).</t>
        </is>
      </c>
      <c r="F8" s="5" t="inlineStr">
        <is>
          <t>GET /v1/discovery → 401
GET /v1/discovery → 401</t>
        </is>
      </c>
      <c r="G8" s="5">
        <f>IF(F8="",0,LEN(F8)-LEN(SUBSTITUTE(F8,CHAR(10),""))+1)</f>
        <v/>
      </c>
      <c r="H8" s="5" t="inlineStr"/>
    </row>
    <row r="9">
      <c r="A9" s="5" t="inlineStr">
        <is>
          <t>DSC-08</t>
        </is>
      </c>
      <c r="B9" s="5" t="inlineStr">
        <is>
          <t>A token with no APX scope, and a client that polls discovery in a loop</t>
        </is>
      </c>
      <c r="C9" s="5" t="inlineStr">
        <is>
          <t>refusal</t>
        </is>
      </c>
      <c r="D9" s="5" t="inlineStr">
        <is>
          <t>APX-DSC-01, APX-CORE-07</t>
        </is>
      </c>
      <c r="E9" s="5" t="inlineStr">
        <is>
          <t>Given a legacy APDS client whose token carries only the APDS po scope, and a misbehaving SDK that calls discovery before every request. When the first calls /v1/discovery ("any APX scope", §16.2) and the second exceeds its advisory limit. Then 403 insufficient-scope and 429 rate-limited, both declared on the operation (F-DSC-10 fixed).</t>
        </is>
      </c>
      <c r="F9" s="5" t="inlineStr">
        <is>
          <t>GET /v1/discovery → 403
GET /v1/discovery → 429</t>
        </is>
      </c>
      <c r="G9" s="5">
        <f>IF(F9="",0,LEN(F9)-LEN(SUBSTITUTE(F9,CHAR(10),""))+1)</f>
        <v/>
      </c>
      <c r="H9" s="5" t="inlineStr"/>
    </row>
    <row r="10">
      <c r="A10" s="5" t="inlineStr">
        <is>
          <t>DSC-09</t>
        </is>
      </c>
      <c r="B10" s="5" t="inlineStr">
        <is>
          <t>A class claimed without its dependency</t>
        </is>
      </c>
      <c r="C10" s="5" t="inlineStr">
        <is>
          <t>edge</t>
        </is>
      </c>
      <c r="D10" s="5" t="inlineStr">
        <is>
          <t>APX-CORE-09</t>
        </is>
      </c>
      <c r="E10" s="5" t="inlineStr">
        <is>
          <t>Given Harbor Deck's PARCS vendor turns on the resolution module before the command plane, and later a payment-history module without accounts. When the bootstrap document advertises apx-resolution without apx-control, then apx-payment-history without apx-accounts. Then both documents validate against the schema, and both are non-conforming: Part 16 §16.1 requires the claim to be closed under Part 3 §3.1's dependency table, and a client reading either treats apx-resolution and then apx-payment-history as not offered (F-DSC-08 fixed in prose; the Annex A row and a tools check are with the integrator).</t>
        </is>
      </c>
      <c r="F10" s="5" t="inlineStr">
        <is>
          <t>GET /.well-known/apx-configuration → 200
GET /.well-known/apx-configuration → 200</t>
        </is>
      </c>
      <c r="G10" s="5">
        <f>IF(F10="",0,LEN(F10)-LEN(SUBSTITUTE(F10,CHAR(10),""))+1)</f>
        <v/>
      </c>
      <c r="H10" s="5" t="inlineStr"/>
    </row>
    <row r="11">
      <c r="A11" s="5" t="inlineStr">
        <is>
          <t>DSC-10</t>
        </is>
      </c>
      <c r="B11" s="5" t="inlineStr">
        <is>
          <t>The grant is narrowed; the document follows, after the cache</t>
        </is>
      </c>
      <c r="C11" s="5" t="inlineStr">
        <is>
          <t>edge</t>
        </is>
      </c>
      <c r="D11" s="5" t="inlineStr">
        <is>
          <t>APX-DSC-01, APX-DSC-03</t>
        </is>
      </c>
      <c r="E11" s="5" t="inlineStr">
        <is>
          <t>Given Lakeside's administrator narrows the console's grant from the whole garage to its exit level while the console still holds a document fetched at 08:03. When the console re-fetches at 08:09, after the five-minute max-age, with a token re-issued under the new grant. Then places names only the exit level and everything else is unchanged. Between 08:04 and 08:08 the old document said the entry level was reachable and the server said otherwise. Part 16 §16.2 now closes that window: a grant change takes effect through a new token, the document is valid for its token's lifetime, max-age is capped by that lifetime, and a client that meets a 403 on a listed endpoint refetches discovery before retrying (F-DSC-14 fixed).</t>
        </is>
      </c>
      <c r="F11" s="5" t="inlineStr">
        <is>
          <t>GET /v1/discovery → 200</t>
        </is>
      </c>
      <c r="G11" s="5">
        <f>IF(F11="",0,LEN(F11)-LEN(SUBSTITUTE(F11,CHAR(10),""))+1)</f>
        <v/>
      </c>
      <c r="H11" s="5" t="inlineStr"/>
    </row>
    <row r="12">
      <c r="A12" s="5" t="inlineStr">
        <is>
          <t>DSC-11</t>
        </is>
      </c>
      <c r="B12" s="5" t="inlineStr">
        <is>
          <t>A vendor extension shows up in both documents</t>
        </is>
      </c>
      <c r="C12" s="5" t="inlineStr">
        <is>
          <t>edge</t>
        </is>
      </c>
      <c r="D12" s="5" t="inlineStr">
        <is>
          <t>APX-DSC-02, APX-CORE-04</t>
        </is>
      </c>
      <c r="E12" s="5" t="inlineStr">
        <is>
          <t>Given AcmeCorp has added a loyalty domain to the Lakeside host per Part 3 §3.3: endpoints under /apx/x/acmecorp/, topics under acmecorp., and its own conformance class. When the bootstrap and discovery documents are fetched by a client whose token carries the vendor scope. Then both documents carry the vendor entries: vendor endpoints and topics appear under the same soundness rule as APX ones, the vendor class is acmecorp-loyalty (&lt;vendor-ns&gt;-&lt;class&gt;, never apx-), and a client that does not know it ignores it (Part 3 §3.1, Part 16 §16.2; F-DSC-04 fixed). The decoration sits in the discovery document's declared extensions container (F-DSC-06 fixed; the bootstrap document gets the same container with the integrator's component change).</t>
        </is>
      </c>
      <c r="F12" s="5" t="inlineStr">
        <is>
          <t>GET /.well-known/apx-configuration → 200
GET /v1/discovery → 200</t>
        </is>
      </c>
      <c r="G12" s="5">
        <f>IF(F12="",0,LEN(F12)-LEN(SUBSTITUTE(F12,CHAR(10),""))+1)</f>
        <v/>
      </c>
      <c r="H12" s="5" t="inlineStr"/>
    </row>
    <row r="13">
      <c r="A13" s="5" t="inlineStr">
        <is>
          <t>DSC-12</t>
        </is>
      </c>
      <c r="B13" s="5" t="inlineStr">
        <is>
          <t>Lakeside joins the CityPark aggregator</t>
        </is>
      </c>
      <c r="C13" s="5" t="inlineStr">
        <is>
          <t>lifecycle</t>
        </is>
      </c>
      <c r="D13" s="5" t="inlineStr">
        <is>
          <t>APX-CORE-09, APX-DSC-01, APX-DSC-03</t>
        </is>
      </c>
      <c r="E13" s="5" t="inlineStr">
        <is>
          <t>Given Lakeside Garage is migrated into CityPark's aggregating implementation (Part 18 §18.3), which mounts its API under /parking/v1 on a shared city host. When the console re-runs onboarding at the new host: bootstrap at the host root, a new registration at CityPark's IdP with apx_places naming exactly the migrated subtree root, then discovery. Then the bootstrap document shows a different class set (no resolution, no LPR) and a different token endpoint, and the discovery document proves the boundary before any traffic flows. The bootstrap document's apiBase says where the bundle's paths are mounted, so the console needs nothing out of band, and discovery path values are relative to it (Part 16 §16.1; F-DSC-13 fixed, pending the integrator's component change).</t>
        </is>
      </c>
      <c r="F13" s="5" t="inlineStr">
        <is>
          <t>GET /.well-known/apx-configuration → 200
GET /v1/discovery → 200</t>
        </is>
      </c>
      <c r="G13" s="5">
        <f>IF(F13="",0,LEN(F13)-LEN(SUBSTITUTE(F13,CHAR(10),""))+1)</f>
        <v/>
      </c>
      <c r="H13" s="5" t="inlineStr"/>
    </row>
    <row r="14">
      <c r="A14" s="5" t="inlineStr">
        <is>
          <t>DSC-13</t>
        </is>
      </c>
      <c r="B14" s="5" t="inlineStr">
        <is>
          <t>Mutual TLS is advertised; a plain-TLS client never gets an HTTP answer</t>
        </is>
      </c>
      <c r="C14" s="5" t="inlineStr">
        <is>
          <t>security</t>
        </is>
      </c>
      <c r="D14" s="5" t="inlineStr">
        <is>
          <t>APX-TLS-01, APX-TLS-02, APX-TLS-03, APX-CORE-06, APX-CORE-09</t>
        </is>
      </c>
      <c r="E14" s="5" t="inlineStr">
        <is>
          <t>Given Lakeside hardens the host with apx-mtls: every APX endpoint requires a client certificate, TLS 1.2 minimum, 1.3 preferred, and each OAuth client is registered with the thumbprint of the certificate it presents. When a new integrator with no certificate fetches the bootstrap document, then the console connects with its certificate and calls discovery, then a console token is replayed from a laptop without the certificate. Then: the bootstrap document is served — it is the one place the integrator learns that mTLS is required — and lists apx-mtls; the console's discovery works and the document is unchanged by the class (there is nothing credential-scoped about mTLS); the replay has no HTTP outcome at all: the server closes the handshake for want of a certificate; and a console token presented over another client's certificate is 401 unauthenticated. Part 16 §16.3 now fixes all three: the bootstrap document stays reachable without a certificate, a missing certificate is refused at the handshake, and tokens are bound per RFC 8705 (APX-TLS-01 to -03; F-DSC-07 fixed, with RFC 8705 to be added to Part 1 by the integrator).</t>
        </is>
      </c>
      <c r="F14" s="5" t="inlineStr">
        <is>
          <t>GET /.well-known/apx-configuration → 200
GET /v1/discovery → 200
GET /v1/discovery → 401</t>
        </is>
      </c>
      <c r="G14" s="5">
        <f>IF(F14="",0,LEN(F14)-LEN(SUBSTITUTE(F14,CHAR(10),""))+1)</f>
        <v/>
      </c>
      <c r="H14" s="5" t="inlineStr"/>
    </row>
    <row r="15">
      <c r="A15" s="5" t="inlineStr">
        <is>
          <t>DSC-14</t>
        </is>
      </c>
      <c r="B15" s="5" t="inlineStr">
        <is>
          <t>Which registry did you mean? Versions and editions in the documents</t>
        </is>
      </c>
      <c r="C15" s="5" t="inlineStr">
        <is>
          <t>edge</t>
        </is>
      </c>
      <c r="D15" s="5" t="inlineStr">
        <is>
          <t>APX-CORE-09, APX-DSC-01</t>
        </is>
      </c>
      <c r="E15" s="5" t="inlineStr">
        <is>
          <t>Given a client library built against edition 0.9.0, when apx-command-types was at version 2 without pushNegotiatedRate and matchTicket. When it bootstraps against the Lakeside host, which validates against registry version 3, and then reads its discovery document. Then registryVersions says apx-command-types is at 3 before the library fetches anything, edition equals apxVersion, and the library knows to refresh its registry before it meets the two command types it lacks (Part 16 §16.1; F-DSC-05 fixed, pending the integrator's component change).</t>
        </is>
      </c>
      <c r="F15" s="5" t="inlineStr">
        <is>
          <t>GET /.well-known/apx-configuration → 200
GET /v1/discovery → 200</t>
        </is>
      </c>
      <c r="G15" s="5">
        <f>IF(F15="",0,LEN(F15)-LEN(SUBSTITUTE(F15,CHAR(10),""))+1)</f>
        <v/>
      </c>
      <c r="H15" s="5" t="inlineStr"/>
    </row>
    <row r="16">
      <c r="A16" s="5" t="inlineStr">
        <is>
          <t>DSC-15</t>
        </is>
      </c>
      <c r="B16" s="5" t="inlineStr">
        <is>
          <t>Advisory limits, and the 429 that follows them</t>
        </is>
      </c>
      <c r="C16" s="5" t="inlineStr">
        <is>
          <t>edge</t>
        </is>
      </c>
      <c r="D16" s="5" t="inlineStr">
        <is>
          <t>APX-DSC-01</t>
        </is>
      </c>
      <c r="E16" s="5" t="inlineStr">
        <is>
          <t>Given the console's document says requestsPerMinute: 600. When a screen refresh bug polls GET /v1/devices twelve times a second. Then the server throttles with 429 and Retry-After. The document warned it in rateLimits, whose keys are now fixed (requestsPerMinute, commandsPerMinute, burst, subscriptionsMax, streamConnectionsMax, per credential), and the 429 detail names the key exceeded (Part 16 §16.2; F-DSC-11 fixed).</t>
        </is>
      </c>
      <c r="F16" s="5" t="inlineStr">
        <is>
          <t>GET /v1/discovery → 200
GET /v1/devices → 429</t>
        </is>
      </c>
      <c r="G16" s="5">
        <f>IF(F16="",0,LEN(F16)-LEN(SUBSTITUTE(F16,CHAR(10),""))+1)</f>
        <v/>
      </c>
      <c r="H16" s="5" t="inlineStr"/>
    </row>
    <row r="17">
      <c r="A17" s="5" t="inlineStr">
        <is>
          <t>DSC-16</t>
        </is>
      </c>
      <c r="B17" s="5" t="inlineStr">
        <is>
          <t>A read-only control dashboard can see the optional features</t>
        </is>
      </c>
      <c r="C17" s="5" t="inlineStr">
        <is>
          <t>happy</t>
        </is>
      </c>
      <c r="D17" s="5" t="inlineStr">
        <is>
          <t>APX-DSC-04, APX-DSC-01</t>
        </is>
      </c>
      <c r="E17" s="5" t="inlineStr">
        <is>
          <t>Given Lakeside's wall dashboard holds only apx.control:read. When it calls discovery. Then commandTypes is empty, since it may execute nothing, and features still lists negotiatedRates and ticketMatching, so it knows to render the negotiated-rate and matched-ticket panels of the lane inquiry (Part 6 §6.5, Part 16 §16.2; F-DSC-01 fixed).</t>
        </is>
      </c>
      <c r="F17" s="5" t="inlineStr">
        <is>
          <t>GET /v1/discovery → 200
GET /.well-known/apx-configuration → 429</t>
        </is>
      </c>
      <c r="G17" s="5">
        <f>IF(F17="",0,LEN(F17)-LEN(SUBSTITUTE(F17,CHAR(10),""))+1)</f>
        <v/>
      </c>
      <c r="H17" s="5" t="inlineStr"/>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H2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4" customWidth="1" min="2" max="2"/>
    <col width="11" customWidth="1" min="3" max="3"/>
    <col width="26" customWidth="1" min="4" max="4"/>
    <col width="90" customWidth="1" min="5" max="5"/>
    <col width="52" customWidth="1" min="6" max="6"/>
    <col width="10" customWidth="1" min="7" max="7"/>
    <col width="14" customWidth="1" min="8" max="8"/>
  </cols>
  <sheetData>
    <row r="1">
      <c r="A1" s="3" t="inlineStr">
        <is>
          <t>ID</t>
        </is>
      </c>
      <c r="B1" s="3" t="inlineStr">
        <is>
          <t>Title</t>
        </is>
      </c>
      <c r="C1" s="3" t="inlineStr">
        <is>
          <t>Kind</t>
        </is>
      </c>
      <c r="D1" s="3" t="inlineStr">
        <is>
          <t>Annex A rows</t>
        </is>
      </c>
      <c r="E1" s="3" t="inlineStr">
        <is>
          <t>Scenario (Given / When / Then)</t>
        </is>
      </c>
      <c r="F1" s="3" t="inlineStr">
        <is>
          <t>Exchanges (request → status)</t>
        </is>
      </c>
      <c r="G1" s="3" t="inlineStr">
        <is>
          <t>Exchange count</t>
        </is>
      </c>
      <c r="H1" s="3" t="inlineStr">
        <is>
          <t>Open spec gap</t>
        </is>
      </c>
    </row>
    <row r="2">
      <c r="A2" s="5" t="inlineStr">
        <is>
          <t>EVT-01</t>
        </is>
      </c>
      <c r="B2" s="5" t="inlineStr">
        <is>
          <t>A stock APDS 4.1 client subscribes and sees pure APDS</t>
        </is>
      </c>
      <c r="C2" s="5" t="inlineStr">
        <is>
          <t>happy</t>
        </is>
      </c>
      <c r="D2" s="5" t="inlineStr">
        <is>
          <t>APX-EVT-01, APX-CORE-02</t>
        </is>
      </c>
      <c r="E2" s="5" t="inlineStr">
        <is>
          <t>Given the city's legacy curb integration, written against APDS 4.1 alone, posts a stock EventSubscription with no Prefer header. When Lakeside's policy routes new subscriptions to back-office approval. Then the answer is APDS's own 202 ResponseStatus, with the new subscription's id as the single entry of ids[] (Part 8 §8.1 makes that a MUST, so a stock client can revoke what it created). A second stock client at a server that auto-activates gets the stock 200.</t>
        </is>
      </c>
      <c r="F2" s="5" t="inlineStr">
        <is>
          <t>POST /webhooks → 202
POST /webhooks → 200</t>
        </is>
      </c>
      <c r="G2" s="5">
        <f>IF(F2="",0,LEN(F2)-LEN(SUBSTITUTE(F2,CHAR(10),""))+1)</f>
        <v/>
      </c>
      <c r="H2" s="5" t="inlineStr"/>
    </row>
    <row r="3">
      <c r="A3" s="5" t="inlineStr">
        <is>
          <t>EVT-02</t>
        </is>
      </c>
      <c r="B3" s="5" t="inlineStr">
        <is>
          <t>An APX client asks for the representation and gets the secret once</t>
        </is>
      </c>
      <c r="C3" s="5" t="inlineStr">
        <is>
          <t>happy</t>
        </is>
      </c>
      <c r="D3" s="5" t="inlineStr">
        <is>
          <t>APX-EVT-01, APX-EVT-07, APX-EVT-06</t>
        </is>
      </c>
      <c r="E3" s="5" t="inlineStr">
        <is>
          <t>Given the city platform's APX-aware integration. When it subscribes with Prefer: return=representation, mixing an APDS topic with two APX topics and filtering to Lakeside, alerts at warning and above. Then 201 with the full subscription and a server-generated secret of at least 32 bytes, disclosed in this response only; the list afterwards shows the same subscription without it.</t>
        </is>
      </c>
      <c r="F3" s="5" t="inlineStr">
        <is>
          <t>POST /webhooks → 201
GET /webhooks → 200</t>
        </is>
      </c>
      <c r="G3" s="5">
        <f>IF(F3="",0,LEN(F3)-LEN(SUBSTITUTE(F3,CHAR(10),""))+1)</f>
        <v/>
      </c>
      <c r="H3" s="5" t="inlineStr"/>
    </row>
    <row r="4">
      <c r="A4" s="5" t="inlineStr">
        <is>
          <t>EVT-03</t>
        </is>
      </c>
      <c r="B4" s="5" t="inlineStr">
        <is>
          <t>Refused at creation: unknown topic, no endpoint, empty topics</t>
        </is>
      </c>
      <c r="C4" s="5" t="inlineStr">
        <is>
          <t>refusal</t>
        </is>
      </c>
      <c r="D4" s="5" t="inlineStr">
        <is>
          <t>APX-EVT-01, APX-CORE-05</t>
        </is>
      </c>
      <c r="E4" s="5" t="inlineStr">
        <is>
          <t>Given three broken clients. When one asks for a topic version that does not exist, one asks for webhook transport without an endpoint, and one sends an empty topic list. Then each is a 400: unknown-topic for the first, invalid-request with an errors[] pointer for the other two.</t>
        </is>
      </c>
      <c r="F4" s="5" t="inlineStr">
        <is>
          <t>POST /webhooks → 400
POST /webhooks → 400
POST /webhooks → 400</t>
        </is>
      </c>
      <c r="G4" s="5">
        <f>IF(F4="",0,LEN(F4)-LEN(SUBSTITUTE(F4,CHAR(10),""))+1)</f>
        <v/>
      </c>
      <c r="H4" s="5" t="inlineStr"/>
    </row>
    <row r="5">
      <c r="A5" s="5" t="inlineStr">
        <is>
          <t>EVT-04</t>
        </is>
      </c>
      <c r="B5" s="5" t="inlineStr">
        <is>
          <t>The first delivery: a stock APDS topic, signed the APX way</t>
        </is>
      </c>
      <c r="C5" s="5" t="inlineStr">
        <is>
          <t>happy</t>
        </is>
      </c>
      <c r="D5" s="5" t="inlineStr">
        <is>
          <t>APX-EVT-02, APX-EVT-04, APX-EVT-06</t>
        </is>
      </c>
      <c r="E5" s="5" t="inlineStr">
        <is>
          <t>Given subscription e8…0003 is active. When a car takes a ticket at the entry lane and a Session is created. Then the city endpoint receives one POST carrying the envelope, signed with the secret from EVT-02: APX-Signature over APX-Timestamp + "." + body, a fresh APX-Delivery-Id, no APX-Key-Id (no rotation in progress). data is the stock APDS Session, because the topic is an APDS EventTypeEnum value; subject references it.</t>
        </is>
      </c>
      <c r="F5" s="5" t="inlineStr">
        <is>
          <t>GET /webhooks/e8000000-0000-4000-8000-000000000003/deliveries → 200</t>
        </is>
      </c>
      <c r="G5" s="5">
        <f>IF(F5="",0,LEN(F5)-LEN(SUBSTITUTE(F5,CHAR(10),""))+1)</f>
        <v/>
      </c>
      <c r="H5" s="5" t="inlineStr"/>
    </row>
    <row r="6">
      <c r="A6" s="5" t="inlineStr">
        <is>
          <t>EVT-05</t>
        </is>
      </c>
      <c r="B6" s="5" t="inlineStr">
        <is>
          <t>The endpoint is down: one event id, five delivery ids, the schedule</t>
        </is>
      </c>
      <c r="C6" s="5" t="inlineStr">
        <is>
          <t>lifecycle</t>
        </is>
      </c>
      <c r="D6" s="5" t="inlineStr">
        <is>
          <t>APX-EVT-03, APX-EVT-04</t>
        </is>
      </c>
      <c r="E6" s="5" t="inlineStr">
        <is>
          <t>Given the city platform deploys at 02:00 and its endpoint returns 503 for the next hour and a half. When a device-state event is published at 02:00:00. Then Lakeside retries on the normative schedule — 0s, 30s, 2m, 10m, 1h, then hourly — with the same envelope id every time and a new APX-Delivery-Id per attempt. The schedule values are delays between consecutive attempts (Part 8 §8.3), and the ledger's attemptHistory shows every attempt's delivery id, time, and code; the operator filters the ledger to the one event it is chasing.</t>
        </is>
      </c>
      <c r="F6" s="5" t="inlineStr">
        <is>
          <t>GET /webhooks/e8000000-0000-4000-8000-000000000003/deliveries → 200
GET /webhooks/e8000000-0000-4000-8000-000000000003/deliveries → 200</t>
        </is>
      </c>
      <c r="G6" s="5">
        <f>IF(F6="",0,LEN(F6)-LEN(SUBSTITUTE(F6,CHAR(10),""))+1)</f>
        <v/>
      </c>
      <c r="H6" s="5" t="inlineStr"/>
    </row>
    <row r="7">
      <c r="A7" s="5" t="inlineStr">
        <is>
          <t>EVT-06</t>
        </is>
      </c>
      <c r="B7" s="5" t="inlineStr">
        <is>
          <t>Twenty-four hours later: failed, the self-referential event, the alert</t>
        </is>
      </c>
      <c r="C7" s="5" t="inlineStr">
        <is>
          <t>lifecycle</t>
        </is>
      </c>
      <c r="D7" s="5" t="inlineStr">
        <is>
          <t>APX-EVT-03, APX-EVT-06</t>
        </is>
      </c>
      <c r="E7" s="5" t="inlineStr">
        <is>
          <t>Given the city endpoint stays down for a full day. When the last hourly retry (attempt 27, at 01:12:30 on the 26th — the last one that falls within 24 hours of the first) also fails. Then the subscription transitions to failed, the ledger entry becomes failed, Lakeside publishes apx.subscription.failed.v1 to the ops-monitor subscription (never to the failed one), and raises a webhookDeliveryFailed alert. data is a SubscriptionFailure (Part 8 §8.7): the subscription reference plus the facts an operator needs.</t>
        </is>
      </c>
      <c r="F7" s="5" t="inlineStr">
        <is>
          <t>GET /webhooks/e8000000-0000-4000-8000-000000000003/deliveries → 200</t>
        </is>
      </c>
      <c r="G7" s="5">
        <f>IF(F7="",0,LEN(F7)-LEN(SUBSTITUTE(F7,CHAR(10),""))+1)</f>
        <v/>
      </c>
      <c r="H7" s="5" t="inlineStr"/>
    </row>
    <row r="8">
      <c r="A8" s="5" t="inlineStr">
        <is>
          <t>EVT-07</t>
        </is>
      </c>
      <c r="B8" s="5" t="inlineStr">
        <is>
          <t>What a failed subscription still allows, and the resume</t>
        </is>
      </c>
      <c r="C8" s="5" t="inlineStr">
        <is>
          <t>refusal</t>
        </is>
      </c>
      <c r="D8" s="5" t="inlineStr">
        <is>
          <t>APX-EVT-03, APX-SSE-01</t>
        </is>
      </c>
      <c r="E8" s="5" t="inlineStr">
        <is>
          <t>Given e8…0003 is failed. When the city platform tries to narrow its filters, tries to attach to the stream, reads its ledger, and finally resumes. Then 410 subscription-failed on the update (Part 8 §8.1: while failed, the only PATCH accepted is one that sets status: active), 410 on the stream, 200 on the ledger, and 200 on a status-only PATCH — the body is a merge patch, so nothing else has to be resent.</t>
        </is>
      </c>
      <c r="F8" s="5" t="inlineStr">
        <is>
          <t>PATCH /webhooks/e8000000-0000-4000-8000-000000000003 → 410
GET /v1/events/stream → 410
GET /webhooks/e8000000-0000-4000-8000-000000000003/deliveries → 200
PATCH /webhooks/e8000000-0000-4000-8000-000000000003 → 200</t>
        </is>
      </c>
      <c r="G8" s="5">
        <f>IF(F8="",0,LEN(F8)-LEN(SUBSTITUTE(F8,CHAR(10),""))+1)</f>
        <v/>
      </c>
      <c r="H8" s="5" t="inlineStr"/>
    </row>
    <row r="9">
      <c r="A9" s="5" t="inlineStr">
        <is>
          <t>EVT-08</t>
        </is>
      </c>
      <c r="B9" s="5" t="inlineStr">
        <is>
          <t>Secret rotation with an overlap window</t>
        </is>
      </c>
      <c r="C9" s="5" t="inlineStr">
        <is>
          <t>security</t>
        </is>
      </c>
      <c r="D9" s="5" t="inlineStr">
        <is>
          <t>APX-EVT-07, APX-EVT-02</t>
        </is>
      </c>
      <c r="E9" s="5" t="inlineStr">
        <is>
          <t>Given the city's quarterly key rotation. When it PATCHes a new client-supplied secret under a key id it chooses. Then 200 with two activeKeyIds, the secret never echoed, and every delivery during the overlap carrying APX-Key-Id so the receiver verifies against the right key without trying both. The overlap ends when the client retires the old key (EVT-24) or, failing that, 24 hours after the rotation (Part 8 §8.1). A secret with too little entropy is 400 invalid-request pointing at /secret.</t>
        </is>
      </c>
      <c r="F9" s="5" t="inlineStr">
        <is>
          <t>PATCH /webhooks/e8000000-0000-4000-8000-000000000003 → 200
PATCH /webhooks/e8000000-0000-4000-8000-000000000003 → 400</t>
        </is>
      </c>
      <c r="G9" s="5">
        <f>IF(F9="",0,LEN(F9)-LEN(SUBSTITUTE(F9,CHAR(10),""))+1)</f>
        <v/>
      </c>
      <c r="H9" s="5" t="inlineStr"/>
    </row>
    <row r="10">
      <c r="A10" s="5" t="inlineStr">
        <is>
          <t>EVT-09</t>
        </is>
      </c>
      <c r="B10" s="5" t="inlineStr">
        <is>
          <t>Key material that never transits the API</t>
        </is>
      </c>
      <c r="C10" s="5" t="inlineStr">
        <is>
          <t>happy</t>
        </is>
      </c>
      <c r="D10" s="5" t="inlineStr">
        <is>
          <t>APX-EVT-07, APX-EVT-02, APX-EVT-05</t>
        </is>
      </c>
      <c r="E10" s="5" t="inlineStr">
        <is>
          <t>Given city finance's security policy forbids secrets in API bodies. When it subscribes to payment events naming a secretRef exchanged out of band. Then 201 with no secret and an activeKeyIds entry naming the referenced key; deliveries are signed with it and carry the PaymentRecord, whose required place is the binding the filter matches.</t>
        </is>
      </c>
      <c r="F10" s="5" t="inlineStr">
        <is>
          <t>POST /webhooks → 201</t>
        </is>
      </c>
      <c r="G10" s="5">
        <f>IF(F10="",0,LEN(F10)-LEN(SUBSTITUTE(F10,CHAR(10),""))+1)</f>
        <v/>
      </c>
      <c r="H10" s="5" t="inlineStr"/>
    </row>
    <row r="11">
      <c r="A11" s="5" t="inlineStr">
        <is>
          <t>EVT-10</t>
        </is>
      </c>
      <c r="B11" s="5" t="inlineStr">
        <is>
          <t>Place binding: what the filter delivers, what it quietly drops</t>
        </is>
      </c>
      <c r="C11" s="5" t="inlineStr">
        <is>
          <t>happy</t>
        </is>
      </c>
      <c r="D11" s="5" t="inlineStr">
        <is>
          <t>APX-EVT-05, APX-EVT-06</t>
        </is>
      </c>
      <c r="E11" s="5" t="inlineStr">
        <is>
          <t>Given e8…0003 filters to Lakeside with severityFloor: warning. When the night brings an occupancy threshold crossing on level 2 (bound by data.place), a major pay-station alert (bound by data.source.place), a device-state change (bound through the subject device's inventory place), an info alert, and a Harbor Deck alert. Then the first three are delivered and the last two never appear — not in the endpoint's log, not in the ledger.</t>
        </is>
      </c>
      <c r="F11" s="5" t="inlineStr">
        <is>
          <t>GET /webhooks/e8000000-0000-4000-8000-000000000003/deliveries → 200</t>
        </is>
      </c>
      <c r="G11" s="5">
        <f>IF(F11="",0,LEN(F11)-LEN(SUBSTITUTE(F11,CHAR(10),""))+1)</f>
        <v/>
      </c>
      <c r="H11" s="5" t="inlineStr"/>
    </row>
    <row r="12">
      <c r="A12" s="5" t="inlineStr">
        <is>
          <t>EVT-11</t>
        </is>
      </c>
      <c r="B12" s="5" t="inlineStr">
        <is>
          <t>Beyond the grant: refused at subscription, dropped at delivery</t>
        </is>
      </c>
      <c r="C12" s="5" t="inlineStr">
        <is>
          <t>security</t>
        </is>
      </c>
      <c r="D12" s="5" t="inlineStr">
        <is>
          <t>APX-EVT-05, APX-CORE-07, APX-CORE-08</t>
        </is>
      </c>
      <c r="E12" s="5" t="inlineStr">
        <is>
          <t>Given the city token is granted Lakeside only, and ops-monitor (e8…0004) has no places filter at all. When the city asks for a Harbor Deck filter, a token with no apx_places claim asks for any filter, a Harbor Deck occupancy event is published, and a validation statement with no place at all is closed. Then the two subscriptions are refused with insufficient-grant (Part 8 §8.5); the Harbor Deck event is never delivered to ops-monitor; and the unbindable statement event reaches only the auditor's subscription (e8…0007, grant "*") — when in doubt, drop rather than leak.</t>
        </is>
      </c>
      <c r="F12" s="5" t="inlineStr">
        <is>
          <t>POST /webhooks → 403
POST /webhooks → 403</t>
        </is>
      </c>
      <c r="G12" s="5">
        <f>IF(F12="",0,LEN(F12)-LEN(SUBSTITUTE(F12,CHAR(10),""))+1)</f>
        <v/>
      </c>
      <c r="H12" s="5" t="inlineStr"/>
    </row>
    <row r="13">
      <c r="A13" s="5" t="inlineStr">
        <is>
          <t>EVT-12</t>
        </is>
      </c>
      <c r="B13" s="5" t="inlineStr">
        <is>
          <t>Wrong scope, wrong purpose, dead token, throttled</t>
        </is>
      </c>
      <c r="C13" s="5" t="inlineStr">
        <is>
          <t>security</t>
        </is>
      </c>
      <c r="D13" s="5" t="inlineStr">
        <is>
          <t>APX-CORE-07, APX-CORE-05, APX-CORE-10</t>
        </is>
      </c>
      <c r="E13" s="5" t="inlineStr">
        <is>
          <t>Given a BI token carrying only apx.data:read, a city token without apx.lpr:read, an expired token, and a dashboard that polls the ledger every second. When each touches the subscription routes. Then 403 insufficient-scope everywhere; 403 insufficient-scope at creation for a plate-bearing topic the credential could not read synchronously (Part 8 §8.1, Part 9 §9.6(4)); 401 unauthenticated; and 429 with Retry-After.</t>
        </is>
      </c>
      <c r="F13" s="5" t="inlineStr">
        <is>
          <t>POST /webhooks → 403
GET /webhooks → 403
GET /webhooks/e8000000-0000-4000-8000-000000000003/deliveries → 403
GET /v1/events/stream → 403
POST /webhooks → 403
GET /webhooks → 401
GET /webhooks/e8000000-0000-4000-8000-000000000003/deliveries → 401
GET /v1/events/stream → 401
GET /webhooks/e8000000-0000-4000-8000-000000000003/deliveries → 429
GET /webhooks → 429
GET /v1/events/stream → 429</t>
        </is>
      </c>
      <c r="G13" s="5">
        <f>IF(F13="",0,LEN(F13)-LEN(SUBSTITUTE(F13,CHAR(10),""))+1)</f>
        <v/>
      </c>
      <c r="H13" s="5" t="inlineStr"/>
    </row>
    <row r="14">
      <c r="A14" s="5" t="inlineStr">
        <is>
          <t>EVT-13</t>
        </is>
      </c>
      <c r="B14" s="5" t="inlineStr">
        <is>
          <t>The NOC kiosk behind NAT: an SSE subscription</t>
        </is>
      </c>
      <c r="C14" s="5" t="inlineStr">
        <is>
          <t>happy</t>
        </is>
      </c>
      <c r="D14" s="5" t="inlineStr">
        <is>
          <t>APX-SSE-01, APX-EVT-01, APX-EVT-06</t>
        </is>
      </c>
      <c r="E14" s="5" t="inlineStr">
        <is>
          <t>Given the garage's NOC kiosk cannot expose an inbound endpoint. When it subscribes with transport: sse and opens the stream. Then 201 without an endpoint or a secret, and a text/event-stream whose id: is the per-subscription sequence and whose data: is the envelope. The frames are shown as the runner sees them (one JSON string, the declared response schema) and then the command envelope is checked on its own.</t>
        </is>
      </c>
      <c r="F14" s="5" t="inlineStr">
        <is>
          <t>POST /webhooks → 201
GET /v1/events/stream → 200</t>
        </is>
      </c>
      <c r="G14" s="5">
        <f>IF(F14="",0,LEN(F14)-LEN(SUBSTITUTE(F14,CHAR(10),""))+1)</f>
        <v/>
      </c>
      <c r="H14" s="5" t="inlineStr"/>
    </row>
    <row r="15">
      <c r="A15" s="5" t="inlineStr">
        <is>
          <t>EVT-14</t>
        </is>
      </c>
      <c r="B15" s="5" t="inlineStr">
        <is>
          <t>Reconnect with Last-Event-ID; reconnect too late; wrong subscriptions</t>
        </is>
      </c>
      <c r="C15" s="5" t="inlineStr">
        <is>
          <t>edge</t>
        </is>
      </c>
      <c r="D15" s="5" t="inlineStr">
        <is>
          <t>APX-SSE-02, APX-SSE-01</t>
        </is>
      </c>
      <c r="E15" s="5" t="inlineStr">
        <is>
          <t>Given the kiosk's connection drops after frame 1042. When it reconnects with Last-Event-ID: 1042 two minutes later. Then the stream resumes at 1043 and nothing is repeated. When it reconnects after a three-hour power cut with the same Last-Event-ID, the buffer (1000 events or 15 minutes, whichever the server keeps longer) no longer holds 1043: the server answers 410 stream-position-expired rather than silently skipping 1043–4009 (Part 8 §8.4), and the kiosk re-syncs through the change feed and reconnects without Last-Event-ID. Attaching to a webhook-transport subscription or an unknown one is 404.</t>
        </is>
      </c>
      <c r="F15" s="5" t="inlineStr">
        <is>
          <t>GET /v1/events/stream → 200
GET /v1/events/stream → 410
GET /v1/events/stream → 200
GET /v1/events/stream → 404
GET /v1/events/stream → 404</t>
        </is>
      </c>
      <c r="G15" s="5">
        <f>IF(F15="",0,LEN(F15)-LEN(SUBSTITUTE(F15,CHAR(10),""))+1)</f>
        <v/>
      </c>
      <c r="H15" s="5" t="inlineStr"/>
    </row>
    <row r="16">
      <c r="A16" s="5" t="inlineStr">
        <is>
          <t>EVT-15</t>
        </is>
      </c>
      <c r="B16" s="5" t="inlineStr">
        <is>
          <t>Update topics and filters; a stale version; an unknown id; a duplicate</t>
        </is>
      </c>
      <c r="C16" s="5" t="inlineStr">
        <is>
          <t>happy</t>
        </is>
      </c>
      <c r="D16" s="5" t="inlineStr">
        <is>
          <t>APX-EVT-01, APX-CORE-03</t>
        </is>
      </c>
      <c r="E16" s="5" t="inlineStr">
        <is>
          <t>Given the city wants occupancy events too. When it PATCHes the topic list with the version it last saw. Then 200 and version advances. Replaying the same PATCH with the old version is a stale write — 409 version-conflict (Part 4 §4.2a). An unknown id is 404. And a create retried with the same Idempotency-Key after a network blip returns the first subscription instead of making a second.</t>
        </is>
      </c>
      <c r="F16" s="5" t="inlineStr">
        <is>
          <t>PATCH /webhooks/e8000000-0000-4000-8000-000000000003 → 200
PATCH /webhooks/e8000000-0000-4000-8000-000000000003 → 409
PATCH /webhooks/e8000000-0000-4000-8000-0000000000ff → 404
POST /webhooks → 201
POST /webhooks → 409</t>
        </is>
      </c>
      <c r="G16" s="5">
        <f>IF(F16="",0,LEN(F16)-LEN(SUBSTITUTE(F16,CHAR(10),""))+1)</f>
        <v/>
      </c>
      <c r="H16" s="5" t="inlineStr"/>
    </row>
    <row r="17">
      <c r="A17" s="5" t="inlineStr">
        <is>
          <t>EVT-16</t>
        </is>
      </c>
      <c r="B17" s="5" t="inlineStr">
        <is>
          <t>Pause for maintenance, resume, and a state a client may not set</t>
        </is>
      </c>
      <c r="C17" s="5" t="inlineStr">
        <is>
          <t>lifecycle</t>
        </is>
      </c>
      <c r="D17" s="5" t="inlineStr">
        <is>
          <t>APX-EVT-03, APX-EVT-01</t>
        </is>
      </c>
      <c r="E17" s="5" t="inlineStr">
        <is>
          <t>Given the city platform schedules a 20-minute deploy. When it pauses its subscription, deploys, and resumes. Then two 200s. Events published during the pause are held (up to 24 hours) and delivered in order on resume, and have no ledger record until their first attempt (Part 8 §8.1). Setting failed from the client side is 400 invalid-request: it is a server-assigned state.</t>
        </is>
      </c>
      <c r="F17" s="5" t="inlineStr">
        <is>
          <t>PATCH /webhooks/e8000000-0000-4000-8000-000000000003 → 200
PATCH /webhooks/e8000000-0000-4000-8000-000000000003 → 200
PATCH /webhooks/e8000000-0000-4000-8000-000000000003 → 400</t>
        </is>
      </c>
      <c r="G17" s="5">
        <f>IF(F17="",0,LEN(F17)-LEN(SUBSTITUTE(F17,CHAR(10),""))+1)</f>
        <v/>
      </c>
      <c r="H17" s="5" t="inlineStr"/>
    </row>
    <row r="18">
      <c r="A18" s="5" t="inlineStr">
        <is>
          <t>EVT-17</t>
        </is>
      </c>
      <c r="B18" s="5" t="inlineStr">
        <is>
          <t>Revoke, revoke again, read the ledger of a dead subscription</t>
        </is>
      </c>
      <c r="C18" s="5" t="inlineStr">
        <is>
          <t>lifecycle</t>
        </is>
      </c>
      <c r="D18" s="5" t="inlineStr">
        <is>
          <t>APX-EVT-01, APX-CORE-02</t>
        </is>
      </c>
      <c r="E18" s="5" t="inlineStr">
        <is>
          <t>Given the stock APDS places feed (e8…0002) is retired. When the city deletes it, a second operator deletes it again, and a dashboard asks for its ledger. Then the native APDS 200 ResponseStatus, the native 404 ResponseStatus, and an APX 404 problem. The dashboard then reads a live subscription by id, and the revoked one, which is 404.</t>
        </is>
      </c>
      <c r="F18" s="5" t="inlineStr">
        <is>
          <t>DELETE /webhooks/e8000000-0000-4000-8000-000000000002 → 200
DELETE /webhooks/e8000000-0000-4000-8000-000000000002 → 404
GET /webhooks/e8000000-0000-4000-8000-000000000002/deliveries → 404
GET /webhooks/e8000000-0000-4000-8000-000000000003 → 200
GET /webhooks/e8000000-0000-4000-8000-000000000002 → 404</t>
        </is>
      </c>
      <c r="G18" s="5">
        <f>IF(F18="",0,LEN(F18)-LEN(SUBSTITUTE(F18,CHAR(10),""))+1)</f>
        <v/>
      </c>
      <c r="H18" s="5" t="inlineStr"/>
    </row>
    <row r="19">
      <c r="A19" s="5" t="inlineStr">
        <is>
          <t>EVT-18</t>
        </is>
      </c>
      <c r="B19" s="5" t="inlineStr">
        <is>
          <t>Unknown extension keys survive the round trip</t>
        </is>
      </c>
      <c r="C19" s="5" t="inlineStr">
        <is>
          <t>edge</t>
        </is>
      </c>
      <c r="D19" s="5" t="inlineStr">
        <is>
          <t>APX-CORE-04, APX-EVT-01</t>
        </is>
      </c>
      <c r="E19" s="5" t="inlineStr">
        <is>
          <t>Given the city's integration tags subscriptions with its own routing metadata. When it creates with an apds-ext: key Lakeside has never seen, then PATCHes the topics without mentioning extensions. Then the key is echoed at creation and still present after the update. A key that breaks the §4.3 pattern is refused with 400 invalid-request.</t>
        </is>
      </c>
      <c r="F19" s="5" t="inlineStr">
        <is>
          <t>POST /webhooks → 201
PATCH /webhooks/e8000000-0000-4000-8000-000000000010 → 200
POST /webhooks → 400</t>
        </is>
      </c>
      <c r="G19" s="5">
        <f>IF(F19="",0,LEN(F19)-LEN(SUBSTITUTE(F19,CHAR(10),""))+1)</f>
        <v/>
      </c>
      <c r="H19" s="5" t="inlineStr"/>
    </row>
    <row r="20">
      <c r="A20" s="5" t="inlineStr">
        <is>
          <t>EVT-19</t>
        </is>
      </c>
      <c r="B20" s="5" t="inlineStr">
        <is>
          <t>Night shift: the operations feed, end to end</t>
        </is>
      </c>
      <c r="C20" s="5" t="inlineStr">
        <is>
          <t>happy</t>
        </is>
      </c>
      <c r="D20" s="5" t="inlineStr">
        <is>
          <t>APX-EVT-06, APX-EVT-05</t>
        </is>
      </c>
      <c r="E20" s="5" t="inlineStr">
        <is>
          <t>Given the pay-station fault from EVT-10 at 02:10. When the overnight agent acknowledges the alert, a driver stuck at the exit calls, the resolution context pops on her console, she vends (EVT-13's command), and the interaction is closed. Then ops-monitor receives, in order, apx.alert.status.v1, apx.resolution.context.created.v1, and apx.support.interaction.recorded.v1, each bound to Lakeside.</t>
        </is>
      </c>
      <c r="F20" s="5" t="inlineStr"/>
      <c r="G20" s="5">
        <f>IF(F20="",0,LEN(F20)-LEN(SUBSTITUTE(F20,CHAR(10),""))+1)</f>
        <v/>
      </c>
      <c r="H20" s="5" t="inlineStr"/>
    </row>
    <row r="21">
      <c r="A21" s="5" t="inlineStr">
        <is>
          <t>EVT-20</t>
        </is>
      </c>
      <c r="B21" s="5" t="inlineStr">
        <is>
          <t>Money and enforcement: tolling and violation topics</t>
        </is>
      </c>
      <c r="C21" s="5" t="inlineStr">
        <is>
          <t>happy</t>
        </is>
      </c>
      <c r="D21" s="5" t="inlineStr">
        <is>
          <t>APX-EVT-06, APX-EVT-05</t>
        </is>
      </c>
      <c r="E21" s="5" t="inlineStr">
        <is>
          <t>Given the city's enforcement subscription (e8…0010) and a tolling subscription on the same endpoint. When a gantry read creates a toll transaction that is later disputed, and an overstay is detected, issued, and paid. Then five envelopes, each carrying the full resource so a consumer never has to call back for it.</t>
        </is>
      </c>
      <c r="F21" s="5" t="inlineStr"/>
      <c r="G21" s="5">
        <f>IF(F21="",0,LEN(F21)-LEN(SUBSTITUTE(F21,CHAR(10),""))+1)</f>
        <v/>
      </c>
      <c r="H21" s="5" t="inlineStr"/>
    </row>
    <row r="22">
      <c r="A22" s="5" t="inlineStr">
        <is>
          <t>EVT-21</t>
        </is>
      </c>
      <c r="B22" s="5" t="inlineStr">
        <is>
          <t>Validations, credentials, and a no-show</t>
        </is>
      </c>
      <c r="C22" s="5" t="inlineStr">
        <is>
          <t>happy</t>
        </is>
      </c>
      <c r="D22" s="5" t="inlineStr">
        <is>
          <t>APX-EVT-06, APX-EVT-05</t>
        </is>
      </c>
      <c r="E22" s="5" t="inlineStr">
        <is>
          <t>Given ops-monitor holds every APX topic. When the cinema's validation is redeemed at the lane, the cinema program is suspended for non-payment, a monthly card is suspended and then refused at the entry lane, and a reservation passes its grace period. Then five envelopes. The no-show topic's data is ReservationSummary (Part 8 §8.7).</t>
        </is>
      </c>
      <c r="F22" s="5" t="inlineStr"/>
      <c r="G22" s="5">
        <f>IF(F22="",0,LEN(F22)-LEN(SUBSTITUTE(F22,CHAR(10),""))+1)</f>
        <v/>
      </c>
      <c r="H22" s="5" t="inlineStr"/>
    </row>
    <row r="23">
      <c r="A23" s="5" t="inlineStr">
        <is>
          <t>EVT-22</t>
        </is>
      </c>
      <c r="B23" s="5" t="inlineStr">
        <is>
          <t>Valet runner boards and the sensor stream</t>
        </is>
      </c>
      <c r="C23" s="5" t="inlineStr">
        <is>
          <t>happy</t>
        </is>
      </c>
      <c r="D23" s="5" t="inlineStr">
        <is>
          <t>APX-EVT-06, APX-EVT-05, APX-CORE-10</t>
        </is>
      </c>
      <c r="E23" s="5" t="inlineStr">
        <is>
          <t>Given the valet stand's runner board and the city's LPR analytics each subscribe. When a guest texts for her car, a runner picks it up, and the entry camera reads a plate. Then apx.valet.retrieval.requested.v1, apx.valet.ticket.status.v1, and apx.data.observation.created.v1. The observation topic's data is the APDS ObservationElement, with elementIds as the element binding §8.5 requires (Part 8 §8.7). The plate value rides only under apx.lpr:read (Part 9 §9.6).</t>
        </is>
      </c>
      <c r="F23" s="5" t="inlineStr"/>
      <c r="G23" s="5">
        <f>IF(F23="",0,LEN(F23)-LEN(SUBSTITUTE(F23,CHAR(10),""))+1)</f>
        <v/>
      </c>
      <c r="H23" s="5" t="inlineStr"/>
    </row>
    <row r="24">
      <c r="A24" s="5" t="inlineStr">
        <is>
          <t>EVT-23</t>
        </is>
      </c>
      <c r="B24" s="5" t="inlineStr">
        <is>
          <t>The receiver's clock: the replay window and re-signed retries</t>
        </is>
      </c>
      <c r="C24" s="5" t="inlineStr">
        <is>
          <t>edge</t>
        </is>
      </c>
      <c r="D24" s="5" t="inlineStr">
        <is>
          <t>APX-EVT-02, APX-EVT-04</t>
        </is>
      </c>
      <c r="E24" s="5" t="inlineStr">
        <is>
          <t>Given the city endpoint comes back at 02:40 during the EVT-05 outage, but its clock is nine minutes slow. When the 02:42:30 retry arrives. Then the receiver, applying the ±5 minute window, rejects it with 400 and the ledger records that code. Once NTP is fixed, the next retry carries a fresh APX-Timestamp and a signature computed over it — the same envelope id, a new APX-Delivery-Id — and is accepted. Part 8 §8.3 makes that re-signing normative: every attempt carries the time of that attempt in APX-Timestamp and a signature over it, with the body unchanged, so an hourly retry is as verifiable as the first attempt. A captured delivery replayed by a third party twenty minutes later fails the same window check and is dropped by the receiver.</t>
        </is>
      </c>
      <c r="F24" s="5" t="inlineStr">
        <is>
          <t>GET /webhooks/e8000000-0000-4000-8000-000000000003/deliveries → 200</t>
        </is>
      </c>
      <c r="G24" s="5">
        <f>IF(F24="",0,LEN(F24)-LEN(SUBSTITUTE(F24,CHAR(10),""))+1)</f>
        <v/>
      </c>
      <c r="H24" s="5" t="inlineStr"/>
    </row>
    <row r="25">
      <c r="A25" s="5" t="inlineStr">
        <is>
          <t>EVT-24</t>
        </is>
      </c>
      <c r="B25" s="5" t="inlineStr">
        <is>
          <t>Ending the rotation overlap; the write routes under a bad token</t>
        </is>
      </c>
      <c r="C25" s="5" t="inlineStr">
        <is>
          <t>security</t>
        </is>
      </c>
      <c r="D25" s="5" t="inlineStr">
        <is>
          <t>APX-EVT-07, APX-CORE-07, APX-CORE-05</t>
        </is>
      </c>
      <c r="E25" s="5" t="inlineStr">
        <is>
          <t>Given every city receiver now verifies with k-2026-09-26-b. When the city retires the old key, and then a mis-deployed job hammers the subscription write routes with an expired token, a read-only token, and no back-off. Then 200 with one activeKeyIds entry (the overlap ended by the client, Part 8 §8.1), and the shared 401 unauthenticated, 403 insufficient-scope, and 429 rate-limited on POST /webhooks, GET/PATCH/DELETE /webhooks/{id}.</t>
        </is>
      </c>
      <c r="F25" s="5" t="inlineStr">
        <is>
          <t>PATCH /webhooks/e8000000-0000-4000-8000-000000000003 → 200
POST /webhooks → 401
GET /webhooks/e8000000-0000-4000-8000-000000000003 → 401
PATCH /webhooks/e8000000-0000-4000-8000-000000000003 → 401
DELETE /webhooks/e8000000-0000-4000-8000-000000000003 → 401
GET /webhooks/e8000000-0000-4000-8000-000000000003 → 403
PATCH /webhooks/e8000000-0000-4000-8000-000000000003 → 403
DELETE /webhooks/e8000000-0000-4000-8000-000000000003 → 403
POST /webhooks → 429
GET /webhooks/e8000000-0000-4000-8000-000000000003 → 429
PATCH /webhooks/e8000000-0000-4000-8000-000000000003 → 429
DELETE /webhooks/e8000000-0000-4000-8000-000000000003 → 429</t>
        </is>
      </c>
      <c r="G25" s="5">
        <f>IF(F25="",0,LEN(F25)-LEN(SUBSTITUTE(F25,CHAR(10),""))+1)</f>
        <v/>
      </c>
      <c r="H25" s="5" t="inlineStr"/>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3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4" customWidth="1" min="2" max="2"/>
    <col width="11" customWidth="1" min="3" max="3"/>
    <col width="26" customWidth="1" min="4" max="4"/>
    <col width="90" customWidth="1" min="5" max="5"/>
    <col width="52" customWidth="1" min="6" max="6"/>
    <col width="10" customWidth="1" min="7" max="7"/>
    <col width="14" customWidth="1" min="8" max="8"/>
  </cols>
  <sheetData>
    <row r="1">
      <c r="A1" s="3" t="inlineStr">
        <is>
          <t>ID</t>
        </is>
      </c>
      <c r="B1" s="3" t="inlineStr">
        <is>
          <t>Title</t>
        </is>
      </c>
      <c r="C1" s="3" t="inlineStr">
        <is>
          <t>Kind</t>
        </is>
      </c>
      <c r="D1" s="3" t="inlineStr">
        <is>
          <t>Annex A rows</t>
        </is>
      </c>
      <c r="E1" s="3" t="inlineStr">
        <is>
          <t>Scenario (Given / When / Then)</t>
        </is>
      </c>
      <c r="F1" s="3" t="inlineStr">
        <is>
          <t>Exchanges (request → status)</t>
        </is>
      </c>
      <c r="G1" s="3" t="inlineStr">
        <is>
          <t>Exchange count</t>
        </is>
      </c>
      <c r="H1" s="3" t="inlineStr">
        <is>
          <t>Open spec gap</t>
        </is>
      </c>
    </row>
    <row r="2">
      <c r="A2" s="5" t="inlineStr">
        <is>
          <t>LPR-01</t>
        </is>
      </c>
      <c r="B2" s="5" t="inlineStr">
        <is>
          <t>Entry camera ingests a read with the APX detail block; the event follows</t>
        </is>
      </c>
      <c r="C2" s="5" t="inlineStr">
        <is>
          <t>happy</t>
        </is>
      </c>
      <c r="D2" s="5" t="inlineStr">
        <is>
          <t>APX-LPR-01, APX-LPR-02, APX-LPR-03</t>
        </is>
      </c>
      <c r="E2" s="5" t="inlineStr">
        <is>
          <t>Given SYN-1234 drives into entry lane 1 at 08:02 and the camera's engine classifies plate, state, make, model, and colour, each with its own confidence. When the camera posts the native APDS Observation with the apds-ext:apx:lpr-read@1.0 decoration in extensions, the winning values mirrored into observedCredentialId and vehicleAncillaryIdentification, and the still as an Image link. Then the server stores it as a plain Observation (an APDS-only reader sees a valid one), binds it to the lane, and publishes apx.data.observation.created.v1 with the Observation as data and subject referencing it. The APDS schema declares no extensions member on ObservationElement, so the decoration rides as an undeclared additional property (F-LPR-03).</t>
        </is>
      </c>
      <c r="F2" s="5" t="inlineStr">
        <is>
          <t>POST /observations → 201</t>
        </is>
      </c>
      <c r="G2" s="5">
        <f>IF(F2="",0,LEN(F2)-LEN(SUBSTITUTE(F2,CHAR(10),""))+1)</f>
        <v/>
      </c>
      <c r="H2" s="5" t="n"/>
    </row>
    <row r="3">
      <c r="A3" s="5" t="inlineStr">
        <is>
          <t>LPR-02</t>
        </is>
      </c>
      <c r="B3" s="5" t="inlineStr">
        <is>
          <t>Plate to ticket: the lost ticket is found</t>
        </is>
      </c>
      <c r="C3" s="5" t="inlineStr">
        <is>
          <t>happy</t>
        </is>
      </c>
      <c r="D3" s="5" t="inlineStr">
        <is>
          <t>APX-LPR-01, APX-LPR-03, APX-LPR-04, APX-CORE-10</t>
        </is>
      </c>
      <c r="E3" s="5" t="inlineStr">
        <is>
          <t>Given a transient parker at exit lane 2 with no ticket, and the plate the entry camera read at 08:02. When the agent looks the plate up. Then one LprRead joins the Observation to ticket T-1001 and its session, carries the projected detail with every per-attribute confidence the engine supplied, the accessEvent: entry the LPR system reported, and the still as an access-controlled link. The read names its place and, since the fix for F-LPR-04, the lane and the capturing cameraId.</t>
        </is>
      </c>
      <c r="F3" s="5" t="inlineStr">
        <is>
          <t>GET /v1/lpr/reads → 200</t>
        </is>
      </c>
      <c r="G3" s="5">
        <f>IF(F3="",0,LEN(F3)-LEN(SUBSTITUTE(F3,CHAR(10),""))+1)</f>
        <v/>
      </c>
      <c r="H3" s="5" t="n"/>
    </row>
    <row r="4">
      <c r="A4" s="5" t="inlineStr">
        <is>
          <t>LPR-03</t>
        </is>
      </c>
      <c r="B4" s="5" t="inlineStr">
        <is>
          <t>Ticket to plate: both reads of one visit, and a ticket no camera saw</t>
        </is>
      </c>
      <c r="C4" s="5" t="inlineStr">
        <is>
          <t>happy</t>
        </is>
      </c>
      <c r="D4" s="5" t="inlineStr">
        <is>
          <t>APX-LPR-01, APX-LPR-02</t>
        </is>
      </c>
      <c r="E4" s="5" t="inlineStr">
        <is>
          <t>Given ticket T-1001 and, later, a ticket T-1077 issued at a lane with no camera. When the console asks for each ticket's reads. Then T-1001 returns the entry read and the exit read taken at 18:40, both bound to the same session and place, in one page, each naming its lane so the console can say which was entry and which exit (F-LPR-04); T-1077 returns an empty page, not an error.</t>
        </is>
      </c>
      <c r="F4" s="5" t="inlineStr">
        <is>
          <t>GET /v1/lpr/reads → 200
GET /v1/lpr/reads → 200</t>
        </is>
      </c>
      <c r="G4" s="5">
        <f>IF(F4="",0,LEN(F4)-LEN(SUBSTITUTE(F4,CHAR(10),""))+1)</f>
        <v/>
      </c>
      <c r="H4" s="5" t="n"/>
    </row>
    <row r="5">
      <c r="A5" s="5" t="inlineStr">
        <is>
          <t>LPR-04</t>
        </is>
      </c>
      <c r="B5" s="5" t="inlineStr">
        <is>
          <t>An older camera with no detail block: nothing is guessed</t>
        </is>
      </c>
      <c r="C5" s="5" t="inlineStr">
        <is>
          <t>edge</t>
        </is>
      </c>
      <c r="D5" s="5" t="inlineStr">
        <is>
          <t>APX-LPR-03, APX-LPR-04</t>
        </is>
      </c>
      <c r="E5" s="5" t="inlineStr">
        <is>
          <t>Given the ramp camera at Riverside is a first-generation unit that reports a plate string and one overall score, nothing else. When it ingests a read without the decoration. Then the LprRead has no detail at all, so no accessEvent either: the read is simply unknown, and pairing it into a session is the platform's job. The server fills nothing in, and the APDS-native vehicle fields stay empty rather than being filled with defaults.</t>
        </is>
      </c>
      <c r="F5" s="5" t="inlineStr">
        <is>
          <t>POST /observations → 201
GET /v1/lpr/reads → 200</t>
        </is>
      </c>
      <c r="G5" s="5">
        <f>IF(F5="",0,LEN(F5)-LEN(SUBSTITUTE(F5,CHAR(10),""))+1)</f>
        <v/>
      </c>
      <c r="H5" s="5" t="n"/>
    </row>
    <row r="6">
      <c r="A6" s="5" t="inlineStr">
        <is>
          <t>LPR-05</t>
        </is>
      </c>
      <c r="B6" s="5" t="inlineStr">
        <is>
          <t>One frame: the engine cannot call movement, the LPR system still reports the event</t>
        </is>
      </c>
      <c r="C6" s="5" t="inlineStr">
        <is>
          <t>edge</t>
        </is>
      </c>
      <c r="D6" s="5" t="inlineStr">
        <is>
          <t>APX-LPR-03, APX-LPR-04</t>
        </is>
      </c>
      <c r="E6" s="5" t="inlineStr">
        <is>
          <t>Given a single-frame capture at exit lane 2: the engine saw a rear plate in one frame only (frameReads: 1), so it cannot call motion, and it could not classify colour. The site's LPR system still knows the read came from its exit camera and reports it as an exit. When the console reads it. Then detail.movement is unknown, detail.frameReads is 1, color is absent, and accessEvent is exit exactly as the LPR system reported it. The server infers nothing from the missing geometry and adds nothing to it; laneTravel is the deprecated field's unknown.</t>
        </is>
      </c>
      <c r="F6" s="5" t="inlineStr">
        <is>
          <t>GET /v1/lpr/reads → 200</t>
        </is>
      </c>
      <c r="G6" s="5">
        <f>IF(F6="",0,LEN(F6)-LEN(SUBSTITUTE(F6,CHAR(10),""))+1)</f>
        <v/>
      </c>
      <c r="H6" s="5" t="n"/>
    </row>
    <row r="7">
      <c r="A7" s="5" t="inlineStr">
        <is>
          <t>LPR-06</t>
        </is>
      </c>
      <c r="B7" s="5" t="inlineStr">
        <is>
          <t>Shared driveway in the snow: in through the exit lane, and nothing is flagged</t>
        </is>
      </c>
      <c r="C7" s="5" t="inlineStr">
        <is>
          <t>lifecycle</t>
        </is>
      </c>
      <c r="D7" s="5" t="inlineStr">
        <is>
          <t>APX-LPR-02, APX-LPR-04, APX-LPR-06</t>
        </is>
      </c>
      <c r="E7" s="5" t="inlineStr">
        <is>
          <t>Given Riverside's entry and exit lanes share one unseparated driveway, and at 07:41 snow covers the lane markings. A grey pickup turns in on the exit side. The exit camera cam-exit-1 faces outward, so a car coming in drives toward it and shows its front plate. When the LPR system reports the read as accessEvent: entry — its own call; APX does not care which lane it was. Then the server stores the read as reported, the platform opens session f1…0741 for the plate, and no alert is raised: APX defines no wrong-way travel (Part 13 §13.3a(6)), so wrongWayTravel is never raised by the server. The observation event carries the reported accessEvent.</t>
        </is>
      </c>
      <c r="F7" s="5" t="inlineStr">
        <is>
          <t>POST /observations → 201
GET /v1/lpr/reads → 200
GET /v1/alerts → 200</t>
        </is>
      </c>
      <c r="G7" s="5">
        <f>IF(F7="",0,LEN(F7)-LEN(SUBSTITUTE(F7,CHAR(10),""))+1)</f>
        <v/>
      </c>
      <c r="H7" s="5" t="n"/>
    </row>
    <row r="8">
      <c r="A8" s="5" t="inlineStr">
        <is>
          <t>LPR-07</t>
        </is>
      </c>
      <c r="B8" s="5" t="inlineStr">
        <is>
          <t>A proper exit: two cameras, front and rear, one passage</t>
        </is>
      </c>
      <c r="C8" s="5" t="inlineStr">
        <is>
          <t>happy</t>
        </is>
      </c>
      <c r="D8" s="5" t="inlineStr">
        <is>
          <t>APX-LPR-03, APX-LPR-04, APX-LPR-06</t>
        </is>
      </c>
      <c r="E8" s="5" t="inlineStr">
        <is>
          <t>Given Riverside's exit lane carries two cameras: cam-exit-1 faces outward and reads the rear plates of leaving cars, and cam-exit-1f faces inward and reads their front plates. A sedan leaves at 09:12. When both cameras read it; the LPR system gives both reads the same captureGroup and accessEvent: exit, and the front read keeps its second-ranked plate string. Then two LprRead rows come back — one per Observation — sharing a captureGroup, so a consumer counting vehicles counts one exit (§13.3a(6)). alternateReads holds KLM-4478 for the correction flow. Which of the two reads the platform prefers (rear-plate first, at this operator) is the platform's choice, not APX's.</t>
        </is>
      </c>
      <c r="F8" s="5" t="inlineStr">
        <is>
          <t>GET /v1/lpr/reads → 200
GET /v1/lpr/reads → 200</t>
        </is>
      </c>
      <c r="G8" s="5">
        <f>IF(F8="",0,LEN(F8)-LEN(SUBSTITUTE(F8,CHAR(10),""))+1)</f>
        <v/>
      </c>
      <c r="H8" s="5" t="n"/>
    </row>
    <row r="9">
      <c r="A9" s="5" t="inlineStr">
        <is>
          <t>LPR-08</t>
        </is>
      </c>
      <c r="B9" s="5" t="inlineStr">
        <is>
          <t>Candidates for a session, best first, with the engine's second choice</t>
        </is>
      </c>
      <c r="C9" s="5" t="inlineStr">
        <is>
          <t>happy</t>
        </is>
      </c>
      <c r="D9" s="5" t="inlineStr">
        <is>
          <t>APX-LPR-01, APX-LPR-03, APX-CORE-10</t>
        </is>
      </c>
      <c r="E9" s="5" t="inlineStr">
        <is>
          <t>Given session f1…0031 was opened on a 0.41 entry read of 5VN-4B21, and the customer at exit lane 2 says the plate is SVN-4821. When the agent asks for the session's candidates. Then the fresh 0.97 exit read comes first, then the entry misread with its detail, then the entry engine's own second choice offered as a candidate in its own right (Part 17 §17.5), sharing the entry Observation. Imagery is links that demand the caller's credentials.</t>
        </is>
      </c>
      <c r="F9" s="5" t="inlineStr">
        <is>
          <t>GET /v1/lpr/candidates → 200</t>
        </is>
      </c>
      <c r="G9" s="5">
        <f>IF(F9="",0,LEN(F9)-LEN(SUBSTITUTE(F9,CHAR(10),""))+1)</f>
        <v/>
      </c>
      <c r="H9" s="5" t="n"/>
    </row>
    <row r="10">
      <c r="A10" s="5" t="inlineStr">
        <is>
          <t>LPR-09</t>
        </is>
      </c>
      <c r="B10" s="5" t="inlineStr">
        <is>
          <t>Candidates for a lane since a time, and a session with no reads</t>
        </is>
      </c>
      <c r="C10" s="5" t="inlineStr">
        <is>
          <t>happy</t>
        </is>
      </c>
      <c r="D10" s="5" t="inlineStr">
        <is>
          <t>APX-LPR-01</t>
        </is>
      </c>
      <c r="E10" s="5" t="inlineStr">
        <is>
          <t>Given the agent does not yet know the session, only the lane the intercom belongs to. When they ask for exit lane 2's candidates since 22:30, and separately for the candidates of a session opened at a camera-less lane. Then the lane query returns the one read taken there in the window, and the camera-less session returns an empty data array with meta.total: 0.</t>
        </is>
      </c>
      <c r="F10" s="5" t="inlineStr">
        <is>
          <t>GET /v1/lpr/candidates → 200
GET /v1/lpr/candidates → 200</t>
        </is>
      </c>
      <c r="G10" s="5">
        <f>IF(F10="",0,LEN(F10)-LEN(SUBSTITUTE(F10,CHAR(10),""))+1)</f>
        <v/>
      </c>
      <c r="H10" s="5" t="n"/>
    </row>
    <row r="11">
      <c r="A11" s="5" t="inlineStr">
        <is>
          <t>LPR-10</t>
        </is>
      </c>
      <c r="B11" s="5" t="inlineStr">
        <is>
          <t>No lookup key at all</t>
        </is>
      </c>
      <c r="C11" s="5" t="inlineStr">
        <is>
          <t>refusal</t>
        </is>
      </c>
      <c r="D11" s="5" t="inlineStr">
        <is>
          <t>APX-LPR-01, APX-CORE-05</t>
        </is>
      </c>
      <c r="E11" s="5" t="inlineStr">
        <is>
          <t>Given a console that forgot to fill in the search field. When it calls the candidates route with neither session nor lane, and the reads route with neither plate nor ticket. Then both are refused with 400 invalid-request: a plate-keyed surface must never turn into "list every read I can see". (Was F-LPR-05: the reads route declared no 400; it now does, and §13.3 makes one key REQUIRED.)</t>
        </is>
      </c>
      <c r="F11" s="5" t="inlineStr">
        <is>
          <t>GET /v1/lpr/candidates → 400
GET /v1/lpr/reads → 400</t>
        </is>
      </c>
      <c r="G11" s="5">
        <f>IF(F11="",0,LEN(F11)-LEN(SUBSTITUTE(F11,CHAR(10),""))+1)</f>
        <v/>
      </c>
      <c r="H11" s="5" t="n"/>
    </row>
    <row r="12">
      <c r="A12" s="5" t="inlineStr">
        <is>
          <t>LPR-11</t>
        </is>
      </c>
      <c r="B12" s="5" t="inlineStr">
        <is>
          <t>Correct the plate; the reservation links; APDS sees it</t>
        </is>
      </c>
      <c r="C12" s="5" t="inlineStr">
        <is>
          <t>lifecycle</t>
        </is>
      </c>
      <c r="D12" s="5" t="inlineStr">
        <is>
          <t>APX-LPR-01, APX-LPR-03</t>
        </is>
      </c>
      <c r="E12" s="5" t="inlineStr">
        <is>
          <t>Given the candidates from LPR-08 and a customer who read the plate out loud. When the agent writes SVN-4821 onto session f1…0031 citing the exit Observation. Then 200 with the corrected association; the cross-lookup by the corrected plate now joins the entry Observation (still 5VN-4B21 as observed, never rewritten) to the session, and SessionUpdated is published so a plain APDS client reading /sessions/{id} sees the plate in identifiedCredentials.</t>
        </is>
      </c>
      <c r="F12" s="5" t="inlineStr">
        <is>
          <t>PUT /v1/sessions/f1000000-0000-4000-8000-000000000031/plate → 200
GET /v1/lpr/reads → 200</t>
        </is>
      </c>
      <c r="G12" s="5">
        <f>IF(F12="",0,LEN(F12)-LEN(SUBSTITUTE(F12,CHAR(10),""))+1)</f>
        <v/>
      </c>
      <c r="H12" s="5" t="n"/>
    </row>
    <row r="13">
      <c r="A13" s="5" t="inlineStr">
        <is>
          <t>LPR-12</t>
        </is>
      </c>
      <c r="B13" s="5" t="inlineStr">
        <is>
          <t>The same correction twice, and two agents at once</t>
        </is>
      </c>
      <c r="C13" s="5" t="inlineStr">
        <is>
          <t>edge</t>
        </is>
      </c>
      <c r="D13" s="5" t="inlineStr">
        <is>
          <t>APX-LPR-01, APX-CORE-05</t>
        </is>
      </c>
      <c r="E13" s="5" t="inlineStr">
        <is>
          <t>Given the console's 200 from LPR-11 was lost to a network blip. When it sends the identical PUT again. Then 200 with the same association and no second SessionUpdated for an unchanged value: PUT is naturally idempotent. Meanwhile a second agent, working from a stale screen, tries to write the old misread back citing the Session version it read (If-Match: "3"); the Session is at version 4, so the write is refused with 409 version-conflict and nothing changes (Part 4 §4.2a, Part 17 §17.5; was F-LPR-08).</t>
        </is>
      </c>
      <c r="F13" s="5" t="inlineStr">
        <is>
          <t>PUT /v1/sessions/f1000000-0000-4000-8000-000000000031/plate → 200
PUT /v1/sessions/f1000000-0000-4000-8000-000000000031/plate → 409</t>
        </is>
      </c>
      <c r="G13" s="5">
        <f>IF(F13="",0,LEN(F13)-LEN(SUBSTITUTE(F13,CHAR(10),""))+1)</f>
        <v/>
      </c>
      <c r="H13" s="5" t="n"/>
    </row>
    <row r="14">
      <c r="A14" s="5" t="inlineStr">
        <is>
          <t>LPR-13</t>
        </is>
      </c>
      <c r="B14" s="5" t="inlineStr">
        <is>
          <t>Correction refused: unknown session, and no plate in the body</t>
        </is>
      </c>
      <c r="C14" s="5" t="inlineStr">
        <is>
          <t>refusal</t>
        </is>
      </c>
      <c r="D14" s="5" t="inlineStr">
        <is>
          <t>APX-LPR-01, APX-CORE-05</t>
        </is>
      </c>
      <c r="E14" s="5" t="inlineStr">
        <is>
          <t>Given a console with a stale session id, and one that sends the reason but forgets the plate. When each PUTs. Then 404 target-not-found for the id, and 400 for the body, which the route does not declare and Part 12 has no slug for (F-LPR-09).</t>
        </is>
      </c>
      <c r="F14" s="5" t="inlineStr">
        <is>
          <t>PUT /v1/sessions/f1000000-0000-4000-8000-0000000000ff/plate → 404
PUT /v1/sessions/f1000000-0000-4000-8000-000000000031/plate → 400</t>
        </is>
      </c>
      <c r="G14" s="5">
        <f>IF(F14="",0,LEN(F14)-LEN(SUBSTITUTE(F14,CHAR(10),""))+1)</f>
        <v/>
      </c>
      <c r="H14" s="5" t="n"/>
    </row>
    <row r="15">
      <c r="A15" s="5" t="inlineStr">
        <is>
          <t>LPR-14</t>
        </is>
      </c>
      <c r="B15" s="5" t="inlineStr">
        <is>
          <t>Correcting a session that already closed</t>
        </is>
      </c>
      <c r="C15" s="5" t="inlineStr">
        <is>
          <t>refusal</t>
        </is>
      </c>
      <c r="D15" s="5" t="inlineStr">
        <is>
          <t>APX-LPR-01</t>
        </is>
      </c>
      <c r="E15" s="5" t="inlineStr">
        <is>
          <t>Given session f1…0049 ended at 19:40 and was billed by plate. When an agent, an hour later, tries to change its plate. Then the server refuses: the plate on a settled session is the billing key, and this operator's dispute window for plate corrections is 30 minutes after exit. Part 17 §17.5 now allows a closed-session correction only inside the dispute window and only with reason; outside it the route's declared 422 session-not-open applies (was F-LPR-10).</t>
        </is>
      </c>
      <c r="F15" s="5" t="inlineStr">
        <is>
          <t>PUT /v1/sessions/f1000000-0000-4000-8000-000000000049/plate → 422</t>
        </is>
      </c>
      <c r="G15" s="5">
        <f>IF(F15="",0,LEN(F15)-LEN(SUBSTITUTE(F15,CHAR(10),""))+1)</f>
        <v/>
      </c>
      <c r="H15" s="5" t="n"/>
    </row>
    <row r="16">
      <c r="A16" s="5" t="inlineStr">
        <is>
          <t>LPR-15</t>
        </is>
      </c>
      <c r="B16" s="5" t="inlineStr">
        <is>
          <t>Wrong scope: plate values stay behind apx.lpr</t>
        </is>
      </c>
      <c r="C16" s="5" t="inlineStr">
        <is>
          <t>security</t>
        </is>
      </c>
      <c r="D16" s="5" t="inlineStr">
        <is>
          <t>APX-CORE-07, APX-CORE-10</t>
        </is>
      </c>
      <c r="E16" s="5" t="inlineStr">
        <is>
          <t>Given a BI token with apx.data:read only, and a console token with apx.lpr:read but no write scope. When the BI token reads plates and candidates, and the console token tries to correct a plate. Then 403 insufficient-scope every time. A token without an apx.lpr scope never sees a plate value through this class (Part 9 §9.6(1)).</t>
        </is>
      </c>
      <c r="F16" s="5" t="inlineStr">
        <is>
          <t>GET /v1/lpr/reads → 403
GET /v1/lpr/candidates → 403
PUT /v1/sessions/f1000000-0000-4000-8000-000000000031/plate → 403</t>
        </is>
      </c>
      <c r="G16" s="5">
        <f>IF(F16="",0,LEN(F16)-LEN(SUBSTITUTE(F16,CHAR(10),""))+1)</f>
        <v/>
      </c>
      <c r="H16" s="5" t="n"/>
    </row>
    <row r="17">
      <c r="A17" s="5" t="inlineStr">
        <is>
          <t>LPR-16</t>
        </is>
      </c>
      <c r="B17" s="5" t="inlineStr">
        <is>
          <t>Out of grant: the other garage's plates do not exist for this token</t>
        </is>
      </c>
      <c r="C17" s="5" t="inlineStr">
        <is>
          <t>security</t>
        </is>
      </c>
      <c r="D17" s="5" t="inlineStr">
        <is>
          <t>APX-CORE-07, APX-CORE-08, APX-LPR-02</t>
        </is>
      </c>
      <c r="E17" s="5" t="inlineStr">
        <is>
          <t>Given HBR-5510 has been read only at Harbor Deck. When the Lakeside token searches that plate, asks for Harbor Deck's lane candidates, corrects a Harbor Deck session, and a token with no apx_places claim searches SYN-1234. Then the plate search is an empty 200 (the place-less lookup is constrained to the grant, Part 13 §13.5(2), and leaks nothing about whether the plate exists elsewhere), the lane and session targets are 403 insufficient-grant, and the claim-less token sees nothing (fail-closed). Part 9 §9.3a and Part 13 §13.5(4) now fix exactly this split: value-keyed lookups are an empty 200, entity-keyed ones outside the grant are 403 (was F-LPR-14). The same applies to place= naming Harbor Deck:</t>
        </is>
      </c>
      <c r="F17" s="5" t="inlineStr">
        <is>
          <t>GET /v1/lpr/reads → 403
GET /v1/lpr/reads → 200
GET /v1/lpr/candidates → 403
PUT /v1/sessions/f1000000-0000-4000-8000-000000000203/plate → 403
GET /v1/lpr/reads → 200</t>
        </is>
      </c>
      <c r="G17" s="5">
        <f>IF(F17="",0,LEN(F17)-LEN(SUBSTITUTE(F17,CHAR(10),""))+1)</f>
        <v/>
      </c>
      <c r="H17" s="5" t="n"/>
    </row>
    <row r="18">
      <c r="A18" s="5" t="inlineStr">
        <is>
          <t>LPR-17</t>
        </is>
      </c>
      <c r="B18" s="5" t="inlineStr">
        <is>
          <t>The image link demands the same credentials as the call</t>
        </is>
      </c>
      <c r="C18" s="5" t="inlineStr">
        <is>
          <t>security</t>
        </is>
      </c>
      <c r="D18" s="5" t="inlineStr">
        <is>
          <t>APX-CORE-10</t>
        </is>
      </c>
      <c r="E18" s="5" t="inlineStr">
        <is>
          <t>Given the imageLink from a read of SYN-1234. When it is opened with no token, with a token whose grant excludes Lakeside, and with the token that produced it. Then 401, 403, and the JPEG. The link is not an APX operation, so those three fetches are shown without markers; the read that produced the link is validated.</t>
        </is>
      </c>
      <c r="F18" s="5" t="inlineStr">
        <is>
          <t>GET /v1/lpr/reads → 200</t>
        </is>
      </c>
      <c r="G18" s="5">
        <f>IF(F18="",0,LEN(F18)-LEN(SUBSTITUTE(F18,CHAR(10),""))+1)</f>
        <v/>
      </c>
      <c r="H18" s="5" t="n"/>
    </row>
    <row r="19">
      <c r="A19" s="5" t="inlineStr">
        <is>
          <t>LPR-18</t>
        </is>
      </c>
      <c r="B19" s="5" t="inlineStr">
        <is>
          <t>A dashboard on an expired token, then polling too fast</t>
        </is>
      </c>
      <c r="C19" s="5" t="inlineStr">
        <is>
          <t>edge</t>
        </is>
      </c>
      <c r="D19" s="5" t="inlineStr">
        <is>
          <t>APX-CORE-05</t>
        </is>
      </c>
      <c r="E19" s="5" t="inlineStr">
        <is>
          <t>Given a plate-watch dashboard whose token expired at 23:00, and which, once re-issued, polls the candidates route every 200 ms. When it calls all three routes expired, then exceeds the read limit. Then 401 on each (Part 12 registers no problem type for 401, F-LPR-06) and 429 with Retry-After on each.</t>
        </is>
      </c>
      <c r="F19" s="5" t="inlineStr">
        <is>
          <t>GET /v1/lpr/reads → 401
GET /v1/lpr/candidates → 401
PUT /v1/sessions/f1000000-0000-4000-8000-000000000031/plate → 401
GET /v1/lpr/candidates → 429
GET /v1/lpr/reads → 429
PUT /v1/sessions/f1000000-0000-4000-8000-000000000031/plate → 429</t>
        </is>
      </c>
      <c r="G19" s="5">
        <f>IF(F19="",0,LEN(F19)-LEN(SUBSTITUTE(F19,CHAR(10),""))+1)</f>
        <v/>
      </c>
      <c r="H19" s="5" t="n"/>
    </row>
    <row r="20">
      <c r="A20" s="5" t="inlineStr">
        <is>
          <t>LPR-19</t>
        </is>
      </c>
      <c r="B20" s="5" t="inlineStr">
        <is>
          <t>Retention: the picture goes first, then the read</t>
        </is>
      </c>
      <c r="C20" s="5" t="inlineStr">
        <is>
          <t>edge</t>
        </is>
      </c>
      <c r="D20" s="5" t="inlineStr">
        <is>
          <t>APX-CORE-10, APX-LPR-01</t>
        </is>
      </c>
      <c r="E20" s="5" t="inlineStr">
        <is>
          <t>Given Lakeside's published retention: plate imagery 30 days, plate reads 90 days, and a subpoena hold on nothing. When an auditor looks up a plate read on 2026-07-10 (76 days ago) and one from 2026-05-02 (145 days ago). Then the July read is returned without imageLink and with purgedImagery: true (the still was purged on schedule; the row survives until day 90), and the May read is gone from every lookup: an empty page, with its deletion already emitted on the change feed. Part 13 §13.3b now fixes both wire shapes (was F-LPR-13).</t>
        </is>
      </c>
      <c r="F20" s="5" t="inlineStr">
        <is>
          <t>GET /v1/lpr/reads → 200
GET /v1/lpr/reads → 200
GET /v1/lpr/candidates → 200</t>
        </is>
      </c>
      <c r="G20" s="5">
        <f>IF(F20="",0,LEN(F20)-LEN(SUBSTITUTE(F20,CHAR(10),""))+1)</f>
        <v/>
      </c>
      <c r="H20" s="5" t="n"/>
    </row>
    <row r="21">
      <c r="A21" s="5" t="inlineStr">
        <is>
          <t>LPR-20</t>
        </is>
      </c>
      <c r="B21" s="5" t="inlineStr">
        <is>
          <t>A vendor's own extension rides along, and where it can be seen</t>
        </is>
      </c>
      <c r="C21" s="5" t="inlineStr">
        <is>
          <t>edge</t>
        </is>
      </c>
      <c r="D21" s="5" t="inlineStr">
        <is>
          <t>APX-LPR-01, APX-LPR-03</t>
        </is>
      </c>
      <c r="E21" s="5" t="inlineStr">
        <is>
          <t>Given a camera vendor that attaches its raw-engine block as apds-ext:vendor-x:lpr-raw@1.0 next to the APX decoration. When it ingests. Then the server preserves both keys on the Observation (tolerant reader, faithful writer, Part 4 §4.3), the event carries both, and the APX cross-lookup projects the APX block as detail and the vendor key in LprRead.extensions (Part 13 §13.3). APDS has no GET /observations/{id}, so the read-back by id is GET /v1/lpr/reads?observation= (was F-LPR-12).</t>
        </is>
      </c>
      <c r="F21" s="5" t="inlineStr">
        <is>
          <t>POST /observations → 201
GET /v1/lpr/reads → 200</t>
        </is>
      </c>
      <c r="G21" s="5">
        <f>IF(F21="",0,LEN(F21)-LEN(SUBSTITUTE(F21,CHAR(10),""))+1)</f>
        <v/>
      </c>
      <c r="H21" s="5" t="n"/>
    </row>
    <row r="22">
      <c r="A22" s="5" t="inlineStr">
        <is>
          <t>LPR-21</t>
        </is>
      </c>
      <c r="B22" s="5" t="inlineStr">
        <is>
          <t>Narrowing a forty-garage grant to one place</t>
        </is>
      </c>
      <c r="C22" s="5" t="inlineStr">
        <is>
          <t>edge</t>
        </is>
      </c>
      <c r="D22" s="5" t="inlineStr">
        <is>
          <t>APX-LPR-02</t>
        </is>
      </c>
      <c r="E22" s="5" t="inlineStr">
        <is>
          <t>Given a regional token granted both Lakeside and Riverside, and a fleet plate seen at both today. When the console asks for the plate at Lakeside only, using the place parameter Part 13 §13.5(3–4) now declares on the operation (was F-LPR-07). Then the Lakeside read alone.</t>
        </is>
      </c>
      <c r="F22" s="5" t="inlineStr">
        <is>
          <t>GET /v1/lpr/reads → 200
GET /v1/lpr/reads → 200</t>
        </is>
      </c>
      <c r="G22" s="5">
        <f>IF(F22="",0,LEN(F22)-LEN(SUBSTITUTE(F22,CHAR(10),""))+1)</f>
        <v/>
      </c>
      <c r="H22" s="5" t="n"/>
    </row>
    <row r="23">
      <c r="A23" s="5" t="inlineStr">
        <is>
          <t>LPR-22</t>
        </is>
      </c>
      <c r="B23" s="5" t="inlineStr">
        <is>
          <t>A write scope that sees a plate</t>
        </is>
      </c>
      <c r="C23" s="5" t="inlineStr">
        <is>
          <t>security</t>
        </is>
      </c>
      <c r="D23" s="5" t="inlineStr">
        <is>
          <t>APX-CORE-10, APX-LPR-01</t>
        </is>
      </c>
      <c r="E23" s="5" t="inlineStr">
        <is>
          <t>Given a PARCS integration token with apx.data:write and no apx.lpr scope at all. When it corrects a plate, as the route's security requirement allows. Then 200, and the response echoes the plate value the caller itself supplied — and nothing else. Part 17 §17.5 now says the write's 200 echoes only the caller's own values and MUST NOT disclose other plate-bearing data, which stays under apx.lpr:read (was F-LPR-11; the matching note in Part 9 §9.6(1) is with the integrator). The response carries the Session's new version.</t>
        </is>
      </c>
      <c r="F23" s="5" t="inlineStr">
        <is>
          <t>PUT /v1/sessions/f1000000-0000-4000-8000-000000000905/plate → 200</t>
        </is>
      </c>
      <c r="G23" s="5">
        <f>IF(F23="",0,LEN(F23)-LEN(SUBSTITUTE(F23,CHAR(10),""))+1)</f>
        <v/>
      </c>
      <c r="H23" s="5" t="n"/>
    </row>
    <row r="24">
      <c r="A24" s="5" t="inlineStr">
        <is>
          <t>LPR-23</t>
        </is>
      </c>
      <c r="B24" s="5" t="inlineStr">
        <is>
          <t>Writing down the lane cameras</t>
        </is>
      </c>
      <c r="C24" s="5" t="inlineStr">
        <is>
          <t>happy</t>
        </is>
      </c>
      <c r="D24" s="5" t="inlineStr">
        <is>
          <t>APX-LPR-05</t>
        </is>
      </c>
      <c r="E24" s="5" t="inlineStr">
        <is>
          <t>Given Riverside's exit lane b2…0061 has two cameras: cam-exit-1 looks out of the lot (reading the rear plates of leaving cars) and cam-exit-1f looks into it (reading their front plates). When the LPR system records that on the lane with the apds-ext:apx:lane-cameras@1.0 decoration, through the native place route. Then the server stores and returns it unchanged. Each cameraId is the string the camera puts in Image.cameraID on its reads, so a consumer can tell which way any read's camera faced. APX derives nothing from it.</t>
        </is>
      </c>
      <c r="F24" s="5" t="inlineStr">
        <is>
          <t>PUT /places/b2000000-0000-4000-8000-000000000061 → 200</t>
        </is>
      </c>
      <c r="G24" s="5">
        <f>IF(F24="",0,LEN(F24)-LEN(SUBSTITUTE(F24,CHAR(10),""))+1)</f>
        <v/>
      </c>
      <c r="H24" s="5" t="n"/>
    </row>
    <row r="25">
      <c r="A25" s="5" t="inlineStr">
        <is>
          <t>LPR-24</t>
        </is>
      </c>
      <c r="B25" s="5" t="inlineStr">
        <is>
          <t>Two lanes claim the same camera</t>
        </is>
      </c>
      <c r="C25" s="5" t="inlineStr">
        <is>
          <t>refusal</t>
        </is>
      </c>
      <c r="D25" s="5" t="inlineStr">
        <is>
          <t>APX-LPR-05</t>
        </is>
      </c>
      <c r="E25" s="5" t="inlineStr">
        <is>
          <t>Given LPR-23's configuration. When an installer copies the exit lane's block onto the entry lane, so cam-exit-1 is now claimed by two lanes of the same Place. cameraId MUST be unique within the Place (§13.3a(5)), because otherwise a read's camera no longer says which way it faced. Then 422 request-unprocessable and nothing is written (§13.3a(5); declared on the native place writes since 0.12.1, which fixed F-LPR-18).</t>
        </is>
      </c>
      <c r="F25" s="5" t="inlineStr">
        <is>
          <t>PUT /places/b2000000-0000-4000-8000-000000000060 → 422</t>
        </is>
      </c>
      <c r="G25" s="5">
        <f>IF(F25="",0,LEN(F25)-LEN(SUBSTITUTE(F25,CHAR(10),""))+1)</f>
        <v/>
      </c>
      <c r="H25" s="5" t="n"/>
    </row>
    <row r="26">
      <c r="A26" s="5" t="inlineStr">
        <is>
          <t>LPR-25</t>
        </is>
      </c>
      <c r="B26" s="5" t="inlineStr">
        <is>
          <t>Reversible lane, evening: one camera each way, a rear plate either way</t>
        </is>
      </c>
      <c r="C26" s="5" t="inlineStr">
        <is>
          <t>happy</t>
        </is>
      </c>
      <c r="D26" s="5" t="inlineStr">
        <is>
          <t>APX-LPR-04, APX-LPR-05, APX-LPR-06</t>
        </is>
      </c>
      <c r="E26" s="5" t="inlineStr">
        <is>
          <t>Given Lakeside's centre lane b2…0004 is reversible: inbound in the morning, outbound from 16:00. It carries cam-rev-in (faces inward) and cam-rev-out (faces outward), so whichever way it runs one camera gets a rear plate. Facing is relative to the garage, so the configuration never changes when the lane flips. When at 17:20 a van leaves on the centre lane: cam-rev-out reads its rear plate moving away, cam-rev-in its front plate moving toward, and the LPR system marks both exit in one captureGroup. Then both reads close session f1…0610, and the reads behind that session are the morning entry and the two evening exit reads.</t>
        </is>
      </c>
      <c r="F26" s="5" t="inlineStr">
        <is>
          <t>GET /v1/lpr/reads → 200</t>
        </is>
      </c>
      <c r="G26" s="5">
        <f>IF(F26="",0,LEN(F26)-LEN(SUBSTITUTE(F26,CHAR(10),""))+1)</f>
        <v/>
      </c>
      <c r="H26" s="5" t="n"/>
    </row>
    <row r="27">
      <c r="A27" s="5" t="inlineStr">
        <is>
          <t>LPR-26</t>
        </is>
      </c>
      <c r="B27" s="5" t="inlineStr">
        <is>
          <t>The one front-plate camera</t>
        </is>
      </c>
      <c r="C27" s="5" t="inlineStr">
        <is>
          <t>edge</t>
        </is>
      </c>
      <c r="D27" s="5" t="inlineStr">
        <is>
          <t>APX-LPR-03, APX-LPR-04</t>
        </is>
      </c>
      <c r="E27" s="5" t="inlineStr">
        <is>
          <t>Given Riverside's second entry camera cam-in-1f was mounted years ago looking out at the street, so it reads the front plates of arriving cars (the rare setup; almost every site reads rear plates). When it reads a hatchback coming in: front plate, moving toward it; the LPR system reports entry. Then the read is stored and served exactly as reported. Nothing in APX prefers rear plates or needs the camera moved; a front-plate site is described by its faces value and works unchanged.</t>
        </is>
      </c>
      <c r="F27" s="5" t="inlineStr">
        <is>
          <t>POST /observations → 201</t>
        </is>
      </c>
      <c r="G27" s="5">
        <f>IF(F27="",0,LEN(F27)-LEN(SUBSTITUTE(F27,CHAR(10),""))+1)</f>
        <v/>
      </c>
      <c r="H27" s="5" t="n"/>
    </row>
    <row r="28">
      <c r="A28" s="5" t="inlineStr">
        <is>
          <t>LPR-27</t>
        </is>
      </c>
      <c r="B28" s="5" t="inlineStr">
        <is>
          <t>Stopped in the snow: unknown first, then the LPR system revises it</t>
        </is>
      </c>
      <c r="C28" s="5" t="inlineStr">
        <is>
          <t>lifecycle</t>
        </is>
      </c>
      <c r="D28" s="5" t="inlineStr">
        <is>
          <t>APX-LPR-02, APX-LPR-04</t>
        </is>
      </c>
      <c r="E28" s="5" t="inlineStr">
        <is>
          <t>Given at 07:55 a car stops on Riverside's shared driveway with its wheels spinning in the snow; the exit camera reads its plate for six frames with the car stopped, and the LPR system cannot yet tell entry from exit, so it posts the read with accessEvent: unknown. When at 08:03 the car's exit read turns up at the other end of the lot's one-way loop, and the LPR system pairs the two and decides the driveway read was an entry. It revises the read's access event through PUT /v1/lpr/reads/{observation}/access-event, naming the version it last saw (§13.3a(4)). Then apx.data.observation.updated.v1 is published with the Observation as it now stands, and the read shows entry.</t>
        </is>
      </c>
      <c r="F28" s="5" t="inlineStr">
        <is>
          <t>PUT /v1/lpr/reads/f2000000-0000-4000-8000-000000000931/access-event → 200
GET /v1/lpr/reads → 200</t>
        </is>
      </c>
      <c r="G28" s="5">
        <f>IF(F28="",0,LEN(F28)-LEN(SUBSTITUTE(F28,CHAR(10),""))+1)</f>
        <v/>
      </c>
      <c r="H28" s="5" t="n"/>
    </row>
    <row r="29">
      <c r="A29" s="5" t="inlineStr">
        <is>
          <t>LPR-28</t>
        </is>
      </c>
      <c r="B29" s="5" t="inlineStr">
        <is>
          <t>The same revision sent twice</t>
        </is>
      </c>
      <c r="C29" s="5" t="inlineStr">
        <is>
          <t>refusal</t>
        </is>
      </c>
      <c r="D29" s="5" t="inlineStr">
        <is>
          <t>APX-LPR-04, APX-CORE-08</t>
        </is>
      </c>
      <c r="E29" s="5" t="inlineStr">
        <is>
          <t>Given LPR-27's revision landed; the Observation is now at version: 2. When the LPR system's retry queue sends the same revision again after a timeout, still with If-Match: "1"; and a second, healthy retry reads the current version first and sends If-Match: "2". Then the stale one is 409 version-conflict and nothing is written; the fresh one is a no-op — 200 with version: 2 unchanged and no second observation.updated.v1 — because the value is already entry.</t>
        </is>
      </c>
      <c r="F29" s="5" t="inlineStr">
        <is>
          <t>PUT /v1/lpr/reads/f2000000-0000-4000-8000-000000000931/access-event → 409
PUT /v1/lpr/reads/f2000000-0000-4000-8000-000000000931/access-event → 200</t>
        </is>
      </c>
      <c r="G29" s="5">
        <f>IF(F29="",0,LEN(F29)-LEN(SUBSTITUTE(F29,CHAR(10),""))+1)</f>
        <v/>
      </c>
      <c r="H29" s="5" t="n"/>
    </row>
    <row r="30">
      <c r="A30" s="5" t="inlineStr">
        <is>
          <t>LPR-29</t>
        </is>
      </c>
      <c r="B30" s="5" t="inlineStr">
        <is>
          <t>The camera re-sends a read it already delivered</t>
        </is>
      </c>
      <c r="C30" s="5" t="inlineStr">
        <is>
          <t>edge</t>
        </is>
      </c>
      <c r="D30" s="5" t="inlineStr">
        <is>
          <t>APX-LPR-03, APX-CORE-03</t>
        </is>
      </c>
      <c r="E30" s="5" t="inlineStr">
        <is>
          <t>Given LPR-01's entry read f2…0901 was stored, but the camera's link dropped before the 201 arrived. When its buffer re-sends the same read with the same id — the engine's own read UUID, used as the Observation id (§13.3a(8)). Then 409 id-collision, no second read, no second observation.created.v1; the LPR system treats the 409 as delivered and clears the read from its buffer.</t>
        </is>
      </c>
      <c r="F30" s="5" t="inlineStr">
        <is>
          <t>POST /observations → 409</t>
        </is>
      </c>
      <c r="G30" s="5">
        <f>IF(F30="",0,LEN(F30)-LEN(SUBSTITUTE(F30,CHAR(10),""))+1)</f>
        <v/>
      </c>
      <c r="H30" s="5" t="n"/>
    </row>
    <row r="31">
      <c r="A31" s="5" t="inlineStr">
        <is>
          <t>LPR-30</t>
        </is>
      </c>
      <c r="B31" s="5" t="inlineStr">
        <is>
          <t>The camera was offline all night: reads arrive hours late</t>
        </is>
      </c>
      <c r="C31" s="5" t="inlineStr">
        <is>
          <t>edge</t>
        </is>
      </c>
      <c r="D31" s="5" t="inlineStr">
        <is>
          <t>APX-LPR-06</t>
        </is>
      </c>
      <c r="E31" s="5" t="inlineStr">
        <is>
          <t>Given Riverside's network dropped at 01:50 and came back at 05:30. The entry camera kept reading and buffered everything. When at 05:31 it delivers a read captured at 02:14:07 (observationStartTime), and the exit read of the same car captured at 04:40:52. Then the session the platform builds from them starts at 02:14:07 and ends at 04:40:52 — the capture times — not 05:31, when the reads arrived (§13.3a(8)). Billing a 2 h 27 min visit as a few seconds long is what this rule prevents.</t>
        </is>
      </c>
      <c r="F31" s="5" t="inlineStr">
        <is>
          <t>POST /observations → 201
GET /sessions/f1000000-0000-4000-8000-000000000970 → 200</t>
        </is>
      </c>
      <c r="G31" s="5">
        <f>IF(F31="",0,LEN(F31)-LEN(SUBSTITUTE(F31,CHAR(10),""))+1)</f>
        <v/>
      </c>
      <c r="H31" s="5" t="n"/>
    </row>
    <row r="32">
      <c r="A32" s="5" t="inlineStr">
        <is>
          <t>LPR-31</t>
        </is>
      </c>
      <c r="B32" s="5" t="inlineStr">
        <is>
          <t>All the reads behind one visit, and a visit that is not yours</t>
        </is>
      </c>
      <c r="C32" s="5" t="inlineStr">
        <is>
          <t>security</t>
        </is>
      </c>
      <c r="D32" s="5" t="inlineStr">
        <is>
          <t>APX-LPR-06, APX-LPR-01</t>
        </is>
      </c>
      <c r="E32" s="5" t="inlineStr">
        <is>
          <t>Given session f1…0001 (SYN-1234 at Lakeside, LPR-01..03) and Harbor Deck's session f1…0203, outside the token's grant. When the console asks for each session's reads, and then for f1…0001's reads of a different plate. Then f1…0001 returns its entry and exit reads; f1…0203 is 403 insufficient-grant, because a session is an entity key (§13.5(4)) — unlike a plate, whose out-of-grant lookup is an empty 200; and session plus plate intersect to an empty page.</t>
        </is>
      </c>
      <c r="F32" s="5" t="inlineStr">
        <is>
          <t>GET /v1/lpr/reads → 200
GET /v1/lpr/reads → 403
GET /v1/lpr/reads → 200</t>
        </is>
      </c>
      <c r="G32" s="5">
        <f>IF(F32="",0,LEN(F32)-LEN(SUBSTITUTE(F32,CHAR(10),""))+1)</f>
        <v/>
      </c>
      <c r="H32" s="5" t="n"/>
    </row>
    <row r="33">
      <c r="A33" s="5" t="inlineStr">
        <is>
          <t>LPR-32</t>
        </is>
      </c>
      <c r="B33" s="5" t="inlineStr">
        <is>
          <t>A multi-plate engine: frames, plate box, speed, and a plate category</t>
        </is>
      </c>
      <c r="C33" s="5" t="inlineStr">
        <is>
          <t>happy</t>
        </is>
      </c>
      <c r="D33" s="5" t="inlineStr">
        <is>
          <t>APX-LPR-03</t>
        </is>
      </c>
      <c r="E33" s="5" t="inlineStr">
        <is>
          <t>Given a newer engine at Lakeside's entry that reports everything it has: how many frames read the plate, where the plate sat in the frame (as fractions, so the box survives resizing), measured speed, the vehicle class in its own words, and — for a visitor with a Dubai plate — the plate's category letter. Its native confidences are 0–100; the LPR system scales them to 0–1 (§13.3a(8)). When it ingests the read. Then every field is accepted as given; bodyType is the engine's own label, not mapped to any list.</t>
        </is>
      </c>
      <c r="F33" s="5" t="inlineStr">
        <is>
          <t>POST /observations → 201</t>
        </is>
      </c>
      <c r="G33" s="5">
        <f>IF(F33="",0,LEN(F33)-LEN(SUBSTITUTE(F33,CHAR(10),""))+1)</f>
        <v/>
      </c>
      <c r="H33" s="5" t="n"/>
    </row>
    <row r="34">
      <c r="A34" s="5" t="inlineStr">
        <is>
          <t>LPR-33</t>
        </is>
      </c>
      <c r="B34" s="5" t="inlineStr">
        <is>
          <t>Engine values that were not mapped: 0–100 confidences and a -1 speed</t>
        </is>
      </c>
      <c r="C34" s="5" t="inlineStr">
        <is>
          <t>refusal</t>
        </is>
      </c>
      <c r="D34" s="5" t="inlineStr">
        <is>
          <t>APX-LPR-03</t>
        </is>
      </c>
      <c r="E34" s="5" t="inlineStr">
        <is>
          <t>Given a second site's LPR system forwards an engine's raw output without the §13.3a(8) mapping: a confidence of 97 and speed: -1, the engine's "not measured" sentinel. When it posts the reads. Then each is 400: confidences are 0–1 and speed has a floor of 0 — absent is how "not measured" is said.</t>
        </is>
      </c>
      <c r="F34" s="5" t="inlineStr">
        <is>
          <t>POST /observations → 400
POST /observations → 400</t>
        </is>
      </c>
      <c r="G34" s="5">
        <f>IF(F34="",0,LEN(F34)-LEN(SUBSTITUTE(F34,CHAR(10),""))+1)</f>
        <v/>
      </c>
      <c r="H34" s="5" t="n"/>
    </row>
    <row r="35">
      <c r="A35" s="5" t="inlineStr">
        <is>
          <t>LPR-34</t>
        </is>
      </c>
      <c r="B35" s="5" t="inlineStr">
        <is>
          <t>An engine that still says approaching</t>
        </is>
      </c>
      <c r="C35" s="5" t="inlineStr">
        <is>
          <t>edge</t>
        </is>
      </c>
      <c r="D35" s="5" t="inlineStr">
        <is>
          <t>APX-LPR-04</t>
        </is>
      </c>
      <c r="E35" s="5" t="inlineStr">
        <is>
          <t>Given a camera on firmware from before 0.12.0 still sends the deprecated movement values. When it ingests a read with movement: approaching. Then it is accepted — servers MUST accept approaching/receding as synonyms of toward/away until 1.0 (§13.3a(3)) — and the read is served as it was sent; nothing is lost while the site waits for a firmware update. laneTravel, where a server still returns it, is unknown.</t>
        </is>
      </c>
      <c r="F35" s="5" t="inlineStr">
        <is>
          <t>POST /observations → 201
GET /v1/lpr/reads → 200</t>
        </is>
      </c>
      <c r="G35" s="5">
        <f>IF(F35="",0,LEN(F35)-LEN(SUBSTITUTE(F35,CHAR(10),""))+1)</f>
        <v/>
      </c>
      <c r="H35" s="5" t="n"/>
    </row>
    <row r="36">
      <c r="A36" s="5" t="inlineStr">
        <is>
          <t>LPR-35</t>
        </is>
      </c>
      <c r="B36" s="5" t="inlineStr">
        <is>
          <t>Revisions that are refused</t>
        </is>
      </c>
      <c r="C36" s="5" t="inlineStr">
        <is>
          <t>security</t>
        </is>
      </c>
      <c r="D36" s="5" t="inlineStr">
        <is>
          <t>APX-LPR-04</t>
        </is>
      </c>
      <c r="E36" s="5" t="inlineStr">
        <is>
          <t>Given the revision route of LPR-27. When it is called five wrong ways: a value outside the enum; with an expired token; by the ops console, whose token reads plates but cannot write (apx.lpr:read only); for an Observation id nobody ingested; and by a misbehaving LPR system replaying revisions in a tight loop. Then 400, 401, 403, 404, and 429 in turn, each a registered problem, and nothing is written.</t>
        </is>
      </c>
      <c r="F36" s="5" t="inlineStr">
        <is>
          <t>PUT /v1/lpr/reads/f2000000-0000-4000-8000-000000000931/access-event → 400
PUT /v1/lpr/reads/f2000000-0000-4000-8000-000000000931/access-event → 401
PUT /v1/lpr/reads/f2000000-0000-4000-8000-000000000931/access-event → 403
PUT /v1/lpr/reads/f2000000-0000-4000-8000-000000000fff/access-event → 404
PUT /v1/lpr/reads/f2000000-0000-4000-8000-000000000931/access-event → 429</t>
        </is>
      </c>
      <c r="G36" s="5">
        <f>IF(F36="",0,LEN(F36)-LEN(SUBSTITUTE(F36,CHAR(10),""))+1)</f>
        <v/>
      </c>
      <c r="H36" s="5" t="n"/>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4" customWidth="1" min="2" max="2"/>
    <col width="11" customWidth="1" min="3" max="3"/>
    <col width="26" customWidth="1" min="4" max="4"/>
    <col width="90" customWidth="1" min="5" max="5"/>
    <col width="52" customWidth="1" min="6" max="6"/>
    <col width="10" customWidth="1" min="7" max="7"/>
    <col width="14" customWidth="1" min="8" max="8"/>
  </cols>
  <sheetData>
    <row r="1">
      <c r="A1" s="3" t="inlineStr">
        <is>
          <t>ID</t>
        </is>
      </c>
      <c r="B1" s="3" t="inlineStr">
        <is>
          <t>Title</t>
        </is>
      </c>
      <c r="C1" s="3" t="inlineStr">
        <is>
          <t>Kind</t>
        </is>
      </c>
      <c r="D1" s="3" t="inlineStr">
        <is>
          <t>Annex A rows</t>
        </is>
      </c>
      <c r="E1" s="3" t="inlineStr">
        <is>
          <t>Scenario (Given / When / Then)</t>
        </is>
      </c>
      <c r="F1" s="3" t="inlineStr">
        <is>
          <t>Exchanges (request → status)</t>
        </is>
      </c>
      <c r="G1" s="3" t="inlineStr">
        <is>
          <t>Exchange count</t>
        </is>
      </c>
      <c r="H1" s="3" t="inlineStr">
        <is>
          <t>Open spec gap</t>
        </is>
      </c>
    </row>
    <row r="2">
      <c r="A2" s="5" t="inlineStr">
        <is>
          <t>PRM-01</t>
        </is>
      </c>
      <c r="B2" s="5" t="inlineStr">
        <is>
          <t>Check the pool, issue a two-vehicle permit, read it back as stock APDS</t>
        </is>
      </c>
      <c r="C2" s="5" t="inlineStr">
        <is>
          <t>happy</t>
        </is>
      </c>
      <c r="D2" s="5" t="inlineStr">
        <is>
          <t>APX-PRM-01, APX-PRM-02</t>
        </is>
      </c>
      <c r="E2" s="5" t="inlineStr">
        <is>
          <t>Given Priya Natarajan buys an annual monthly-parker permit for her two cars at the front desk. When the desk console checks the pool, issues the permit with both plates, and the entry lane (which only speaks APDS) reads the assigned right back. Then availability shows three left, the 201 is a native AssignedRight with one CustomerCredential for the holder and one VehicleCredential per plate, the stock read returns the same entity, and availability now shows two left. The rendering follows the §14.2b materialization list: holder → one CustomerCredential, each plate → one VehicleCredential (a CredentialRecord reference, since Lakeside claims apx-credentials), validity → one PlannedUse plus expiry (F-PRM-06 fixed).</t>
        </is>
      </c>
      <c r="F2" s="5" t="inlineStr">
        <is>
          <t>GET /v1/permits/pools/e1000000-0000-4000-8000-000000000010/availability → 200
POST /v1/permits/issue → 201
GET /rights/assigned/e2000000-0000-4000-8000-000000000101 → 200
GET /v1/permits/pools/e1000000-0000-4000-8000-000000000010/availability → 200</t>
        </is>
      </c>
      <c r="G2" s="5">
        <f>IF(F2="",0,LEN(F2)-LEN(SUBSTITUTE(F2,CHAR(10),""))+1)</f>
        <v/>
      </c>
      <c r="H2" s="5" t="inlineStr"/>
    </row>
    <row r="3">
      <c r="A3" s="5" t="inlineStr">
        <is>
          <t>PRM-02</t>
        </is>
      </c>
      <c r="B3" s="5" t="inlineStr">
        <is>
          <t>The pool is empty: 409, and the vendor's waitlist</t>
        </is>
      </c>
      <c r="C3" s="5" t="inlineStr">
        <is>
          <t>refusal</t>
        </is>
      </c>
      <c r="D3" s="5" t="inlineStr">
        <is>
          <t>APX-PRM-01</t>
        </is>
      </c>
      <c r="E3" s="5" t="inlineStr">
        <is>
          <t>Given two more permits went out after PRM-01 and the pool reads zero. When Marcus Bell asks for one. Then 409 pool-exhausted with the counts in detail, and, because Lakeside implements the OPTIONAL waitlist convention, a vendor-extension member on the problem naming his waitlist entry. §14.2 now says plainly that the waitlist is not interoperable and a client must not rely on it (F-PRM-07: won't fix beyond that clarification).</t>
        </is>
      </c>
      <c r="F3" s="5" t="inlineStr">
        <is>
          <t>GET /v1/permits/pools/e1000000-0000-4000-8000-000000000010/availability → 200
POST /v1/permits/issue → 409</t>
        </is>
      </c>
      <c r="G3" s="5">
        <f>IF(F3="",0,LEN(F3)-LEN(SUBSTITUTE(F3,CHAR(10),""))+1)</f>
        <v/>
      </c>
      <c r="H3" s="5" t="inlineStr"/>
    </row>
    <row r="4">
      <c r="A4" s="5" t="inlineStr">
        <is>
          <t>PRM-03</t>
        </is>
      </c>
      <c r="B4" s="5" t="inlineStr">
        <is>
          <t>The desk retries after a timeout</t>
        </is>
      </c>
      <c r="C4" s="5" t="inlineStr">
        <is>
          <t>edge</t>
        </is>
      </c>
      <c r="D4" s="5" t="inlineStr">
        <is>
          <t>APX-PRM-01</t>
        </is>
      </c>
      <c r="E4" s="5" t="inlineStr">
        <is>
          <t>Given the 201 from PRM-01 never reached the desk console. When it retries with the same Idempotency-Key and body, then a colleague reuses the key for a different holder, then a kiosk issues with no key at all. Then 200 with the AssignedRight the key issued (no second slot consumed), 409 idempotency-conflict, and — because the header is optional (making it REQUIRED would break existing clients) — a plain 201 for the keyless kiosk, which is exactly the double-issue a retrying client avoids by sending the key (§14.2; F-PRM-01 fixed).</t>
        </is>
      </c>
      <c r="F4" s="5" t="inlineStr">
        <is>
          <t>POST /v1/permits/issue → 200
POST /v1/permits/issue → 409
POST /v1/permits/issue → 201</t>
        </is>
      </c>
      <c r="G4" s="5">
        <f>IF(F4="",0,LEN(F4)-LEN(SUBSTITUTE(F4,CHAR(10),""))+1)</f>
        <v/>
      </c>
      <c r="H4" s="5" t="inlineStr"/>
    </row>
    <row r="5">
      <c r="A5" s="5" t="inlineStr">
        <is>
          <t>PRM-04</t>
        </is>
      </c>
      <c r="B5" s="5" t="inlineStr">
        <is>
          <t>Unknown pool, unknown RightSpecification, unknown holder</t>
        </is>
      </c>
      <c r="C5" s="5" t="inlineStr">
        <is>
          <t>refusal</t>
        </is>
      </c>
      <c r="D5" s="5" t="inlineStr">
        <is>
          <t>APX-PRM-01</t>
        </is>
      </c>
      <c r="E5" s="5" t="inlineStr">
        <is>
          <t>Given a permit portal with a stale cache of RightSpecification ids and a typo in a holder id. When it asks availability for a RightSpecification that does not exist, issues against it, and issues for a holder that does not exist. Then the availability read is a declared 404 target-not-found; the two issue attempts name nothing through a body Reference, so each is 422 reference-unknown (§14.2a(2); F-PRM-02 fixed — 404 is kept for path ids).</t>
        </is>
      </c>
      <c r="F5" s="5" t="inlineStr">
        <is>
          <t>GET /v1/permits/pools/e1000000-0000-4000-8000-0000000000ff/availability → 404
POST /v1/permits/issue → 422
POST /v1/permits/issue → 422</t>
        </is>
      </c>
      <c r="G5" s="5">
        <f>IF(F5="",0,LEN(F5)-LEN(SUBSTITUTE(F5,CHAR(10),""))+1)</f>
        <v/>
      </c>
      <c r="H5" s="5" t="inlineStr"/>
    </row>
    <row r="6">
      <c r="A6" s="5" t="inlineStr">
        <is>
          <t>PRM-05</t>
        </is>
      </c>
      <c r="B6" s="5" t="inlineStr">
        <is>
          <t>A RightSpecification that is not pooled, and a stale spec version</t>
        </is>
      </c>
      <c r="C6" s="5" t="inlineStr">
        <is>
          <t>refusal</t>
        </is>
      </c>
      <c r="D6" s="5" t="inlineStr">
        <is>
          <t>APX-PRM-01</t>
        </is>
      </c>
      <c r="E6" s="5" t="inlineStr">
        <is>
          <t>Given e1…0011 is Lakeside's event-reservation RightSpecification: it exists, is sold through quotes, and carries no rightPools. When a console asks its availability, tries to issue a permit from it, and then issues from the monthly spec naming version 2 when v3 is current. Then the availability read is the declared 404 ("no pool for this RightSpecification", indistinguishable by type from "no such spec"); the issue against an unpooled spec is 422 request-unprocessable naming the rule (§14.2a(4); F-PRM-03 fixed); the stale version is the declared 409 version-conflict (§14.2a(3)).</t>
        </is>
      </c>
      <c r="F6" s="5" t="inlineStr">
        <is>
          <t>GET /rights/specs/e1000000-0000-4000-8000-000000000011 → 200
GET /v1/permits/pools/e1000000-0000-4000-8000-000000000011/availability → 404
POST /v1/permits/issue → 422
POST /v1/permits/issue → 409</t>
        </is>
      </c>
      <c r="G6" s="5">
        <f>IF(F6="",0,LEN(F6)-LEN(SUBSTITUTE(F6,CHAR(10),""))+1)</f>
        <v/>
      </c>
      <c r="H6" s="5" t="inlineStr"/>
    </row>
    <row r="7">
      <c r="A7" s="5" t="inlineStr">
        <is>
          <t>PRM-06</t>
        </is>
      </c>
      <c r="B7" s="5" t="inlineStr">
        <is>
          <t>Wrong scope, and Harbor Deck's pool</t>
        </is>
      </c>
      <c r="C7" s="5" t="inlineStr">
        <is>
          <t>security</t>
        </is>
      </c>
      <c r="D7" s="5" t="inlineStr">
        <is>
          <t>APX-PRM-01, APX-CORE-06, APX-CORE-07</t>
        </is>
      </c>
      <c r="E7" s="5" t="inlineStr">
        <is>
          <t>Given a BI token with only apx.data:read, and the desk token whose apx_places names Lakeside only. When the BI token reads a pool and issues a permit, and the desk token reads Harbor Deck's pool and issues from it. Then 403 insufficient-scope twice and 403 insufficient-grant twice — the RightSpecification's hierarchyElements place it at Harbor Deck, outside the grant. Both Permits operations now declare 401, 403, and 429 (F-PRM-04 fixed).</t>
        </is>
      </c>
      <c r="F7" s="5" t="inlineStr">
        <is>
          <t>GET /v1/permits/pools/e1000000-0000-4000-8000-000000000010/availability → 403
POST /v1/permits/issue → 403
GET /v1/permits/pools/e1000000-0000-4000-8000-000000000020/availability → 403
POST /v1/permits/issue → 403</t>
        </is>
      </c>
      <c r="G7" s="5">
        <f>IF(F7="",0,LEN(F7)-LEN(SUBSTITUTE(F7,CHAR(10),""))+1)</f>
        <v/>
      </c>
      <c r="H7" s="5" t="inlineStr"/>
    </row>
    <row r="8">
      <c r="A8" s="5" t="inlineStr">
        <is>
          <t>PRM-07</t>
        </is>
      </c>
      <c r="B8" s="5" t="inlineStr">
        <is>
          <t>Renewal: a new window, linked through extensions, vendor keys preserved</t>
        </is>
      </c>
      <c r="C8" s="5" t="inlineStr">
        <is>
          <t>happy</t>
        </is>
      </c>
      <c r="D8" s="5" t="inlineStr">
        <is>
          <t>APX-PRM-01, APX-CORE-09</t>
        </is>
      </c>
      <c r="E8" s="5" t="inlineStr">
        <is>
          <t>Given Priya's permit e2…0101 expires 2027-09-23 and she renews in advance. When the desk re-issues against the same holder with the next window, links the renewal in extensions as §14.2 recommends, and carries a fleet-accounting key the server has never heard of. Then 201 with a new AssignedRight whose extensions echo both keys, and the stock read shows them unchanged (tolerant reader, faithful writer). §14.2 names the link key apds-ext:apx:permit@1.0 (PermitExtension, renews) and PermitIssueRequest now declares extensions (F-PRM-05 fixed). The vendored APDS AssignedRight still declares no container, so the response validates only because APDS does not forbid extra properties (upstream; Part 3 §3.3(8) item).</t>
        </is>
      </c>
      <c r="F8" s="5" t="inlineStr">
        <is>
          <t>POST /v1/permits/issue → 201
GET /rights/assigned/e2000000-0000-4000-8000-000000000102 → 200</t>
        </is>
      </c>
      <c r="G8" s="5">
        <f>IF(F8="",0,LEN(F8)-LEN(SUBSTITUTE(F8,CHAR(10),""))+1)</f>
        <v/>
      </c>
      <c r="H8" s="5" t="inlineStr"/>
    </row>
    <row r="9">
      <c r="A9" s="5" t="inlineStr">
        <is>
          <t>PRM-08</t>
        </is>
      </c>
      <c r="B9" s="5" t="inlineStr">
        <is>
          <t>The bakery adds a third van: native PUT, stale version first</t>
        </is>
      </c>
      <c r="C9" s="5" t="inlineStr">
        <is>
          <t>lifecycle</t>
        </is>
      </c>
      <c r="D9" s="5" t="inlineStr">
        <is>
          <t>APX-PRM-01</t>
        </is>
      </c>
      <c r="E9" s="5" t="inlineStr">
        <is>
          <t>Given Lakeside Bakery's fleet permit e2…0103 (issued earlier today with two vans) is at version 2 after the server materialized the plates. When the fleet manager's tool adds BKR-0003 by writing the whole AssignedRight back through the native route, first with the version it cached (1), then with the current one (2). Then the APDS 409 in the APDS ResponseStatus shape, then 200, and the read shows version 3 with three vehicles. §14.2c now says vehicles change through the native PUT, that the allow-list applies to the new van, and that no pool slot moves (F-PRM-09 fixed). The Part 5 MUST to refuse a stale version with problem version-conflict is still inexpressible on a native route whose 409 is ResponseStatus; that is the cross-cutting native-error-dialect overlay (A7), not a permits change.</t>
        </is>
      </c>
      <c r="F9" s="5" t="inlineStr">
        <is>
          <t>PUT /rights/assigned/e2000000-0000-4000-8000-000000000103 → 409
PUT /rights/assigned/e2000000-0000-4000-8000-000000000103 → 200
GET /rights/assigned/e2000000-0000-4000-8000-000000000103 → 200</t>
        </is>
      </c>
      <c r="G9" s="5">
        <f>IF(F9="",0,LEN(F9)-LEN(SUBSTITUTE(F9,CHAR(10),""))+1)</f>
        <v/>
      </c>
      <c r="H9" s="5" t="inlineStr"/>
    </row>
    <row r="10">
      <c r="A10" s="5" t="inlineStr">
        <is>
          <t>PRM-09</t>
        </is>
      </c>
      <c r="B10" s="5" t="inlineStr">
        <is>
          <t>The bakery closes: cancel the permit, and the pool gets a slot back</t>
        </is>
      </c>
      <c r="C10" s="5" t="inlineStr">
        <is>
          <t>lifecycle</t>
        </is>
      </c>
      <c r="D10" s="5" t="inlineStr">
        <is>
          <t>APX-PRM-01, APX-PRM-02</t>
        </is>
      </c>
      <c r="E10" s="5" t="inlineStr">
        <is>
          <t>Given the bakery shuts in October and asks for a pro-rated refund. When the desk cancels the fleet permit. Then cancellation is the native APDS DELETE, which answers in the APDS shape; the pool afterwards shows one more available, as §14.2c requires, and the refund finds its payment through the AssignedRight's native payments[] transactionID (F-PRM-08 fixed; no dedicated cancel route was added).</t>
        </is>
      </c>
      <c r="F10" s="5" t="inlineStr">
        <is>
          <t>DELETE /rights/assigned/e2000000-0000-4000-8000-000000000103 → 200
GET /rights/assigned/e2000000-0000-4000-8000-000000000103 → 404
GET /v1/permits/pools/e1000000-0000-4000-8000-000000000010/availability → 200</t>
        </is>
      </c>
      <c r="G10" s="5">
        <f>IF(F10="",0,LEN(F10)-LEN(SUBSTITUTE(F10,CHAR(10),""))+1)</f>
        <v/>
      </c>
      <c r="H10" s="5" t="inlineStr"/>
    </row>
    <row r="11">
      <c r="A11" s="5" t="inlineStr">
        <is>
          <t>PRM-10</t>
        </is>
      </c>
      <c r="B11" s="5" t="inlineStr">
        <is>
          <t>A permit that has not started yet, seen from the entry lane</t>
        </is>
      </c>
      <c r="C11" s="5" t="inlineStr">
        <is>
          <t>lifecycle</t>
        </is>
      </c>
      <c r="D11" s="5" t="inlineStr">
        <is>
          <t>APX-PRM-01, APX-PRM-02</t>
        </is>
      </c>
      <c r="E11" s="5" t="inlineStr">
        <is>
          <t>Given the slot freed in PRM-09 goes to Marcus Bell from the waitlist, starting 1 October. When the desk issues it on 24 September and Marcus drives in the same evening, the entry lane runs its stock APDS query for the plate bounded by now. Then 201, an empty list at the lane (denied: not yet valid), and on 1 October the same query returns the right. The lane matches the plate string while the AssignedRight carries a CredentialRecord reference; §14.2b now requires the server to resolve credential_id against the identification string whichever identifier form it materialized (F-PRM-06 fixed).</t>
        </is>
      </c>
      <c r="F11" s="5" t="inlineStr">
        <is>
          <t>POST /v1/permits/issue → 201
GET /rights/assigned → 200
GET /rights/assigned → 200</t>
        </is>
      </c>
      <c r="G11" s="5">
        <f>IF(F11="",0,LEN(F11)-LEN(SUBSTITUTE(F11,CHAR(10),""))+1)</f>
        <v/>
      </c>
      <c r="H11" s="5" t="inlineStr"/>
    </row>
    <row r="12">
      <c r="A12" s="5" t="inlineStr">
        <is>
          <t>PRM-11</t>
        </is>
      </c>
      <c r="B12" s="5" t="inlineStr">
        <is>
          <t>Malformed issue: no holder, and a credential type the spec does not allow</t>
        </is>
      </c>
      <c r="C12" s="5" t="inlineStr">
        <is>
          <t>refusal</t>
        </is>
      </c>
      <c r="D12" s="5" t="inlineStr">
        <is>
          <t>APX-PRM-01</t>
        </is>
      </c>
      <c r="E12" s="5" t="inlineStr">
        <is>
          <t>Given a portal integration under development. When it posts an issue with no holder, and another with an rfid credential against a RightSpecification whose credentials list allows only licensePlate. Then the first is the declared 400 invalid-request; the second is 422 request-unprocessable naming the allow-list rule (§14.2a(5); F-PRM-02, F-PRM-03 fixed). credentialType stays a free string in the schema — narrowing it to CredentialTypeEnum would break existing clients — and a non-enum value is 400 invalid-request by the §14.2a(1) field rule, as the third attempt shows.</t>
        </is>
      </c>
      <c r="F12" s="5" t="inlineStr">
        <is>
          <t>POST /v1/permits/issue → 400
POST /v1/permits/issue → 422
POST /v1/permits/issue → 400</t>
        </is>
      </c>
      <c r="G12" s="5">
        <f>IF(F12="",0,LEN(F12)-LEN(SUBSTITUTE(F12,CHAR(10),""))+1)</f>
        <v/>
      </c>
      <c r="H12" s="5" t="inlineStr"/>
    </row>
    <row r="13">
      <c r="A13" s="5" t="inlineStr">
        <is>
          <t>PRM-12</t>
        </is>
      </c>
      <c r="B13" s="5" t="inlineStr">
        <is>
          <t>A plate that is already on someone else's active permit</t>
        </is>
      </c>
      <c r="C13" s="5" t="inlineStr">
        <is>
          <t>edge</t>
        </is>
      </c>
      <c r="D13" s="5" t="inlineStr">
        <is>
          <t>APX-PRM-01</t>
        </is>
      </c>
      <c r="E13" s="5" t="inlineStr">
        <is>
          <t>Given Priya sold PRY-2202 to Marcus and did not tell the garage. When Marcus's permit is issued with that plate while Priya's e2…0101 still carries it. Then Lakeside's policy is one plate, one permit, so it refuses with 409 credential-identification-in-use, which §14.2a(6) licenses whether or not the server claims apx-credentials (F-PRM-03 fixed); a server that allows the plate on two permits says so in its ICS.</t>
        </is>
      </c>
      <c r="F13" s="5" t="inlineStr">
        <is>
          <t>POST /v1/permits/issue → 409</t>
        </is>
      </c>
      <c r="G13" s="5">
        <f>IF(F13="",0,LEN(F13)-LEN(SUBSTITUTE(F13,CHAR(10),""))+1)</f>
        <v/>
      </c>
      <c r="H13" s="5" t="inlineStr"/>
    </row>
    <row r="14">
      <c r="A14" s="5" t="inlineStr">
        <is>
          <t>PRM-13</t>
        </is>
      </c>
      <c r="B14" s="5" t="inlineStr">
        <is>
          <t>What the fabric says when a permit is issued</t>
        </is>
      </c>
      <c r="C14" s="5" t="inlineStr">
        <is>
          <t>happy</t>
        </is>
      </c>
      <c r="D14" s="5" t="inlineStr">
        <is>
          <t>APX-PRM-01</t>
        </is>
      </c>
      <c r="E14" s="5" t="inlineStr">
        <is>
          <t>Given a subscriber on the native AssignedRightCreated topic (the permit profile adds no topic of its own). When PRM-01's permit is issued. Then one envelope with the AssignedRight as data. Part 8 says data is the APDS EventData shape, but the bundle does not carry EventData or EventTypeEnum, so the closest checkable statement is "data is an AssignedRight" (F-PRM-11, owned by apx-events). §14.2c now names apx.permits.pool.availability.v1 for pool-count changes (F-PRM-10; the apx-topics registry entry is pending). The subscriber's first 2xx is lost and the delivery is retried two seconds later with the identical envelope (same id, Part 8 §8.2): the envelope is checked on the first delivery and its data on the retry.</t>
        </is>
      </c>
      <c r="F14" s="5" t="inlineStr"/>
      <c r="G14" s="5">
        <f>IF(F14="",0,LEN(F14)-LEN(SUBSTITUTE(F14,CHAR(10),""))+1)</f>
        <v/>
      </c>
      <c r="H14" s="5" t="inlineStr"/>
    </row>
    <row r="15">
      <c r="A15" s="5" t="inlineStr">
        <is>
          <t>PRM-14</t>
        </is>
      </c>
      <c r="B15" s="5" t="inlineStr">
        <is>
          <t>One RightSpecification, two pools: which one is "availability"?</t>
        </is>
      </c>
      <c r="C15" s="5" t="inlineStr">
        <is>
          <t>edge</t>
        </is>
      </c>
      <c r="D15" s="5" t="inlineStr">
        <is>
          <t>APX-PRM-01</t>
        </is>
      </c>
      <c r="E15" s="5" t="inlineStr">
        <is>
          <t>Given Lakeside's Q4 monthly spec e1…0012 carries one RightPool for October (80 issued of 100) and one for November (12 of 100), the way APDS models per-period pools. When the sales portal asks availability with no period, then with at= for November, then by pool id. Then the first answer is the pool whose validity contains now (October), the second and third are November, and each names the selected pool and its validity; capacity is distributedAssignedRights + availableAssignedRights of that pool (§14.2; F-PRM-12 fixed).</t>
        </is>
      </c>
      <c r="F15" s="5" t="inlineStr">
        <is>
          <t>GET /rights/specs/e1000000-0000-4000-8000-000000000012 → 200
GET /v1/permits/pools/e1000000-0000-4000-8000-000000000012/availability → 200
GET /v1/permits/pools/e1000000-0000-4000-8000-000000000012/availability → 200
GET /v1/permits/pools/e1000000-0000-4000-8000-000000000012/availability → 200</t>
        </is>
      </c>
      <c r="G15" s="5">
        <f>IF(F15="",0,LEN(F15)-LEN(SUBSTITUTE(F15,CHAR(10),""))+1)</f>
        <v/>
      </c>
      <c r="H15" s="5" t="inlineStr"/>
    </row>
    <row r="16">
      <c r="A16" s="5" t="inlineStr">
        <is>
          <t>PRM-15</t>
        </is>
      </c>
      <c r="B16" s="5" t="inlineStr">
        <is>
          <t>Midnight renewal batch: throttled, then a dead token</t>
        </is>
      </c>
      <c r="C16" s="5" t="inlineStr">
        <is>
          <t>edge</t>
        </is>
      </c>
      <c r="D16" s="5" t="inlineStr">
        <is>
          <t>APX-CORE-05</t>
        </is>
      </c>
      <c r="E16" s="5" t="inlineStr">
        <is>
          <t>Given a permit portal renews 400 permits in a burst at 00:00. When it exceeds the write rate limit, and later keeps going on an expired token. Then 429 with Retry-After on both operations and 401 on both, all declared, with problem type unauthenticated (F-PRM-04 fixed).</t>
        </is>
      </c>
      <c r="F16" s="5" t="inlineStr">
        <is>
          <t>POST /v1/permits/issue → 429
GET /v1/permits/pools/e1000000-0000-4000-8000-000000000010/availability → 429
POST /v1/permits/issue → 401
GET /v1/permits/pools/e1000000-0000-4000-8000-000000000010/availability → 401</t>
        </is>
      </c>
      <c r="G16" s="5">
        <f>IF(F16="",0,LEN(F16)-LEN(SUBSTITUTE(F16,CHAR(10),""))+1)</f>
        <v/>
      </c>
      <c r="H16" s="5" t="inlineStr"/>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H2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4" customWidth="1" min="2" max="2"/>
    <col width="11" customWidth="1" min="3" max="3"/>
    <col width="26" customWidth="1" min="4" max="4"/>
    <col width="90" customWidth="1" min="5" max="5"/>
    <col width="52" customWidth="1" min="6" max="6"/>
    <col width="10" customWidth="1" min="7" max="7"/>
    <col width="14" customWidth="1" min="8" max="8"/>
  </cols>
  <sheetData>
    <row r="1">
      <c r="A1" s="3" t="inlineStr">
        <is>
          <t>ID</t>
        </is>
      </c>
      <c r="B1" s="3" t="inlineStr">
        <is>
          <t>Title</t>
        </is>
      </c>
      <c r="C1" s="3" t="inlineStr">
        <is>
          <t>Kind</t>
        </is>
      </c>
      <c r="D1" s="3" t="inlineStr">
        <is>
          <t>Annex A rows</t>
        </is>
      </c>
      <c r="E1" s="3" t="inlineStr">
        <is>
          <t>Scenario (Given / When / Then)</t>
        </is>
      </c>
      <c r="F1" s="3" t="inlineStr">
        <is>
          <t>Exchanges (request → status)</t>
        </is>
      </c>
      <c r="G1" s="3" t="inlineStr">
        <is>
          <t>Exchange count</t>
        </is>
      </c>
      <c r="H1" s="3" t="inlineStr">
        <is>
          <t>Open spec gap</t>
        </is>
      </c>
    </row>
    <row r="2">
      <c r="A2" s="5" t="inlineStr">
        <is>
          <t>RSV-01</t>
        </is>
      </c>
      <c r="B2" s="5" t="inlineStr">
        <is>
          <t>Quote Friday night before booking it</t>
        </is>
      </c>
      <c r="C2" s="5" t="inlineStr">
        <is>
          <t>happy</t>
        </is>
      </c>
      <c r="D2" s="5" t="inlineStr">
        <is>
          <t>APX-RSV-01, APX-CORE-01</t>
        </is>
      </c>
      <c r="E2" s="5" t="inlineStr">
        <is>
          <t>Given Priya wants Lakeside Garage 18:00–23:00 on concert Friday. When ParkAhead asks for a native APDS quote against the evening right specification. Then 200 with one QuoteRightResponse carrying an option priced at USD 24.00 that expires in thirty minutes. The vendored APDS POST /quotes declares no request body at all (F-RSV-01), and its Identifiers block has a required-key typo, so the option omits it (F-RSV-03).</t>
        </is>
      </c>
      <c r="F2" s="5" t="inlineStr">
        <is>
          <t>POST /quotes → 200</t>
        </is>
      </c>
      <c r="G2" s="5">
        <f>IF(F2="",0,LEN(F2)-LEN(SUBSTITUTE(F2,CHAR(10),""))+1)</f>
        <v/>
      </c>
      <c r="H2" s="5" t="inlineStr"/>
    </row>
    <row r="3">
      <c r="A3" s="5" t="inlineStr">
        <is>
          <t>RSV-02</t>
        </is>
      </c>
      <c r="B3" s="5" t="inlineStr">
        <is>
          <t>Book: an AssignedRight wearing the reservation extension</t>
        </is>
      </c>
      <c r="C3" s="5" t="inlineStr">
        <is>
          <t>happy</t>
        </is>
      </c>
      <c r="D3" s="5" t="inlineStr">
        <is>
          <t>APX-RSV-01, APX-CORE-01, APX-CORE-02, APX-CORE-04</t>
        </is>
      </c>
      <c r="E3" s="5" t="inlineStr">
        <is>
          <t>Given Priya accepted the quote. When ParkAhead creates a native AssignedRight with her plate on file, a plannedUses entry, and the apds-ext:apx:reservation@1.0 extension in confirmed. Then the native 201 ResponseStatus names the id, a plain APDS read returns the full right with the extension intact, and AssignedRightCreated is published with the right as data. Public scenarios 05 and 06 now draw the same shapes (201 ResponseStatus, then a read-back; rightHolder.credentials[]; was F-RSV-04). AssignedRight itself declares no extensions property (F-RSV-05, upstream). The extension's planned times mirror plannedUses[0], which Part 14 §14.1 now makes authoritative (was F-RSV-10).</t>
        </is>
      </c>
      <c r="F3" s="5" t="inlineStr">
        <is>
          <t>POST /rights/assigned → 201
GET /rights/assigned/e2000000-0000-4000-8000-000000000101 → 200</t>
        </is>
      </c>
      <c r="G3" s="5">
        <f>IF(F3="",0,LEN(F3)-LEN(SUBSTITUTE(F3,CHAR(10),""))+1)</f>
        <v/>
      </c>
      <c r="H3" s="5" t="inlineStr"/>
    </row>
    <row r="4">
      <c r="A4" s="5" t="inlineStr">
        <is>
          <t>RSV-03</t>
        </is>
      </c>
      <c r="B4" s="5" t="inlineStr">
        <is>
          <t>Book straight from the quote reference</t>
        </is>
      </c>
      <c r="C4" s="5" t="inlineStr">
        <is>
          <t>edge</t>
        </is>
      </c>
      <c r="D4" s="5" t="inlineStr">
        <is>
          <t>APX-RSV-01, APX-CORE-01</t>
        </is>
      </c>
      <c r="E4" s="5" t="inlineStr">
        <is>
          <t>Given the same quote, and a platform that prefers the APDS "reference the option" create shape. When it posts a ReferenceToQuote naming the response and the option. Then the server would create the right from the quote, but the vendored schema cannot validate the body: ReferenceToQuote is a oneOf of two identical branches, so every body matches both (F-RSV-02). There is also nowhere in this shape to put the reservation extension, so the server must infer plannedStart/plannedEnd from the quote.</t>
        </is>
      </c>
      <c r="F4" s="5" t="inlineStr">
        <is>
          <t>POST /rights/assigned → 201</t>
        </is>
      </c>
      <c r="G4" s="5">
        <f>IF(F4="",0,LEN(F4)-LEN(SUBSTITUTE(F4,CHAR(10),""))+1)</f>
        <v/>
      </c>
      <c r="H4" s="5" t="inlineStr">
        <is>
          <t>F-RSV-02</t>
        </is>
      </c>
    </row>
    <row r="5">
      <c r="A5" s="5" t="inlineStr">
        <is>
          <t>RSV-04</t>
        </is>
      </c>
      <c r="B5" s="5" t="inlineStr">
        <is>
          <t>Book refused: colliding id, missing holder</t>
        </is>
      </c>
      <c r="C5" s="5" t="inlineStr">
        <is>
          <t>refusal</t>
        </is>
      </c>
      <c r="D5" s="5" t="inlineStr">
        <is>
          <t>APX-CORE-03, APX-RSV-01</t>
        </is>
      </c>
      <c r="E5" s="5" t="inlineStr">
        <is>
          <t>Given two broken retries. When one re-posts Priya's booking with the id that already exists, and one omits rightHolder. Then the native route answers 409 and 400 in the APDS ResponseStatus shape, which Part 12 §12.1 permits on native routes; nothing is created.</t>
        </is>
      </c>
      <c r="F5" s="5" t="inlineStr">
        <is>
          <t>POST /rights/assigned → 409
POST /rights/assigned → 400</t>
        </is>
      </c>
      <c r="G5" s="5">
        <f>IF(F5="",0,LEN(F5)-LEN(SUBSTITUTE(F5,CHAR(10),""))+1)</f>
        <v/>
      </c>
      <c r="H5" s="5" t="inlineStr"/>
    </row>
    <row r="6">
      <c r="A6" s="5" t="inlineStr">
        <is>
          <t>RSV-05</t>
        </is>
      </c>
      <c r="B6" s="5" t="inlineStr">
        <is>
          <t>Amend before arrival: dinner runs long</t>
        </is>
      </c>
      <c r="C6" s="5" t="inlineStr">
        <is>
          <t>lifecycle</t>
        </is>
      </c>
      <c r="D6" s="5" t="inlineStr">
        <is>
          <t>APX-RSV-01, APX-DATA-02</t>
        </is>
      </c>
      <c r="E6" s="5" t="inlineStr">
        <is>
          <t>Given Priya's confirmed reservation at version 1. When ParkAhead pushes the end from 23:00 to 01:00 with a native PUT carrying the version it read. Then 200, the read shows version 2 in amended, and AssignedRightUpdated carries the new state. The body's version is the version the client last read (Part 4 §4.2a, cited from Part 14 §14.1 step 3; was F-RSV-07).</t>
        </is>
      </c>
      <c r="F6" s="5" t="inlineStr">
        <is>
          <t>PUT /rights/assigned/e2000000-0000-4000-8000-000000000101 → 200
GET /rights/assigned/e2000000-0000-4000-8000-000000000101 → 200</t>
        </is>
      </c>
      <c r="G6" s="5">
        <f>IF(F6="",0,LEN(F6)-LEN(SUBSTITUTE(F6,CHAR(10),""))+1)</f>
        <v/>
      </c>
      <c r="H6" s="5" t="inlineStr"/>
    </row>
    <row r="7">
      <c r="A7" s="5" t="inlineStr">
        <is>
          <t>RSV-06</t>
        </is>
      </c>
      <c r="B7" s="5" t="inlineStr">
        <is>
          <t>Two amendments race: the stale one loses</t>
        </is>
      </c>
      <c r="C7" s="5" t="inlineStr">
        <is>
          <t>refusal</t>
        </is>
      </c>
      <c r="D7" s="5" t="inlineStr">
        <is>
          <t>APX-DATA-02, APX-CORE-05</t>
        </is>
      </c>
      <c r="E7" s="5" t="inlineStr">
        <is>
          <t>Given a second ParkAhead worker still holding version 1 of Priya's reservation. When it PUTs its own amendment. Then 409: the native route answers in the APDS ResponseStatus shape, which is what its OpenAPI declares. Part 5 §5.1 mandates problem version-conflict for exactly this case and Part 12 §12.1 says native routes SHOULD honour Accept: application/problem+json, but the vendored route declares no such content, so the problem+json variant is a gap (F-RSV-08).</t>
        </is>
      </c>
      <c r="F7" s="5" t="inlineStr">
        <is>
          <t>PUT /rights/assigned/e2000000-0000-4000-8000-000000000101 → 409
PUT /rights/assigned/e2000000-0000-4000-8000-000000000101 → 409</t>
        </is>
      </c>
      <c r="G7" s="5">
        <f>IF(F7="",0,LEN(F7)-LEN(SUBSTITUTE(F7,CHAR(10),""))+1)</f>
        <v/>
      </c>
      <c r="H7" s="5" t="inlineStr"/>
    </row>
    <row r="8">
      <c r="A8" s="5" t="inlineStr">
        <is>
          <t>RSV-07</t>
        </is>
      </c>
      <c r="B8" s="5" t="inlineStr">
        <is>
          <t>Check-in: the entry camera reads the plate</t>
        </is>
      </c>
      <c r="C8" s="5" t="inlineStr">
        <is>
          <t>lifecycle</t>
        </is>
      </c>
      <c r="D8" s="5" t="inlineStr">
        <is>
          <t>APX-RSV-01, APX-RSV-02</t>
        </is>
      </c>
      <c r="E8" s="5" t="inlineStr">
        <is>
          <t>Given Friday 18:04 and the entry camera reads SYN-1234. When the PARCS matches it to the plate credential on Priya's reservation, opens the gate, and creates the native Session whose segment references the AssignedRight. Then 201, the reservation transitions to checkedIn with checkInSession set (§14.1 rule 5), and AssignedRightUpdated says so. The plate is the link; no APX call was needed.</t>
        </is>
      </c>
      <c r="F8" s="5" t="inlineStr">
        <is>
          <t>POST /sessions → 201
GET /rights/assigned/e2000000-0000-4000-8000-000000000101 → 200</t>
        </is>
      </c>
      <c r="G8" s="5">
        <f>IF(F8="",0,LEN(F8)-LEN(SUBSTITUTE(F8,CHAR(10),""))+1)</f>
        <v/>
      </c>
      <c r="H8" s="5" t="inlineStr"/>
    </row>
    <row r="9">
      <c r="A9" s="5" t="inlineStr">
        <is>
          <t>RSV-08</t>
        </is>
      </c>
      <c r="B9" s="5" t="inlineStr">
        <is>
          <t>Set-time reservation extended mid-stay</t>
        </is>
      </c>
      <c r="C9" s="5" t="inlineStr">
        <is>
          <t>lifecycle</t>
        </is>
      </c>
      <c r="D9" s="5" t="inlineStr">
        <is>
          <t>APX-RSV-01</t>
        </is>
      </c>
      <c r="E9" s="5" t="inlineStr">
        <is>
          <t>Given Marisol's set-time reservation e2…0103 (Tuesday 06:00–18:00, plate SYN-5150), checked in at 05:52 as session f1…0202, now at version 3. When at 16:40 her return flight slips and ParkAhead prices the extra hours with the stock APDS session-extension quote, then moves plannedEnd with a change-mode PUT. Then the quote honours 22:00, the PUT is 200, and the reservation STAYS checkedIn — after check-in only the planned times move (§14.1 rule 3). Part 14 §14.1 step 3 now requires a change-mode amend to keep the AssignedRight's required members until a change-mode schema exists (was F-RSV-06; the general schema is F-DATA-02), so the body below validates; the quote request has the F-RSV-01 gap.</t>
        </is>
      </c>
      <c r="F9" s="5" t="inlineStr">
        <is>
          <t>POST /quotes → 200
PUT /rights/assigned/e2000000-0000-4000-8000-000000000103 → 200
GET /rights/assigned/e2000000-0000-4000-8000-000000000103 → 200</t>
        </is>
      </c>
      <c r="G9" s="5">
        <f>IF(F9="",0,LEN(F9)-LEN(SUBSTITUTE(F9,CHAR(10),""))+1)</f>
        <v/>
      </c>
      <c r="H9" s="5" t="inlineStr"/>
    </row>
    <row r="10">
      <c r="A10" s="5" t="inlineStr">
        <is>
          <t>RSV-09</t>
        </is>
      </c>
      <c r="B10" s="5" t="inlineStr">
        <is>
          <t>The third extension is declined</t>
        </is>
      </c>
      <c r="C10" s="5" t="inlineStr">
        <is>
          <t>refusal</t>
        </is>
      </c>
      <c r="D10" s="5" t="inlineStr">
        <is>
          <t>APX-RSV-01</t>
        </is>
      </c>
      <c r="E10" s="5" t="inlineStr">
        <is>
          <t>Given Marisol at 21:50 asks to keep the car overnight until 09:00. When ParkAhead quotes the extension. Then the quote comes back declined with noExtensionPossible and revisedEndTime still at the committed 22:00 — a decline never shrinks what was granted. ParkAhead does not PUT; the reservation runs out at its twice-extended time.</t>
        </is>
      </c>
      <c r="F10" s="5" t="inlineStr">
        <is>
          <t>POST /quotes → 200</t>
        </is>
      </c>
      <c r="G10" s="5">
        <f>IF(F10="",0,LEN(F10)-LEN(SUBSTITUTE(F10,CHAR(10),""))+1)</f>
        <v/>
      </c>
      <c r="H10" s="5" t="inlineStr"/>
    </row>
    <row r="11">
      <c r="A11" s="5" t="inlineStr">
        <is>
          <t>RSV-10</t>
        </is>
      </c>
      <c r="B11" s="5" t="inlineStr">
        <is>
          <t>Cancel: by DELETE, by state, and too late</t>
        </is>
      </c>
      <c r="C11" s="5" t="inlineStr">
        <is>
          <t>lifecycle</t>
        </is>
      </c>
      <c r="D11" s="5" t="inlineStr">
        <is>
          <t>APX-RSV-01</t>
        </is>
      </c>
      <c r="E11" s="5" t="inlineStr">
        <is>
          <t>Given Priya also booked next week twice by mistake (e2…0108 and e2…0109, both confirmed). When ParkAhead deletes one and sets the other to cancelled with a cancelTime on the planned use — both paths §14.1 rule 4 allows. Then 200 for each, the deleted one reads 404 and publishes AssignedRightDeleted, the cancelled one reads back in cancelled. Deleting the reservation Priya has already checked in on is refused with a native 409: the §14.1 transition table (cancel after check-in is illegal) and the registered problem type reservation-transition-illegal now cover it (was F-RSV-09); the native route still answers ResponseStatus, since its problem+json variant waits on the F-RSV-08 overlay.</t>
        </is>
      </c>
      <c r="F11" s="5" t="inlineStr">
        <is>
          <t>DELETE /rights/assigned/e2000000-0000-4000-8000-000000000108 → 200
GET /rights/assigned/e2000000-0000-4000-8000-000000000108 → 404
PUT /rights/assigned/e2000000-0000-4000-8000-000000000109 → 200
DELETE /rights/assigned/e2000000-0000-4000-8000-000000000101 → 409</t>
        </is>
      </c>
      <c r="G11" s="5">
        <f>IF(F11="",0,LEN(F11)-LEN(SUBSTITUTE(F11,CHAR(10),""))+1)</f>
        <v/>
      </c>
      <c r="H11" s="5" t="inlineStr"/>
    </row>
    <row r="12">
      <c r="A12" s="5" t="inlineStr">
        <is>
          <t>RSV-11</t>
        </is>
      </c>
      <c r="B12" s="5" t="inlineStr">
        <is>
          <t>Theo never shows, then shows up late</t>
        </is>
      </c>
      <c r="C12" s="5" t="inlineStr">
        <is>
          <t>lifecycle</t>
        </is>
      </c>
      <c r="D12" s="5" t="inlineStr">
        <is>
          <t>APX-RSV-01, APX-RSV-03</t>
        </is>
      </c>
      <c r="E12" s="5" t="inlineStr">
        <is>
          <t>Given Theo's reservation e2…0102 for 18:00 and Lakeside's sixty-minute grace period (operator policy, §14.1 rule 6). When the 19:00 sweep finds no check-in. Then the reservation transitions to noShow and apx.reservation.noshow.v1 is published with a ReservationSummary as data (Part 14 §14.1 step 6 now names it; the registry text is with the integrator), and the lapse instant was visible all along as the server-set noShowAfter (was F-RSV-11). At 19:40 Theo arrives, takes a ticket, and the agent tries to link the no-show right to his drive-up session: 409 right-not-linkable, which §14.1b now lists for noShow and cancelled rights (was F-RSV-09).</t>
        </is>
      </c>
      <c r="F12" s="5" t="inlineStr">
        <is>
          <t>GET /rights/assigned/e2000000-0000-4000-8000-000000000102 → 200
PUT /v1/sessions/f1000000-0000-4000-8000-000000000208/assigned-right → 409</t>
        </is>
      </c>
      <c r="G12" s="5">
        <f>IF(F12="",0,LEN(F12)-LEN(SUBSTITUTE(F12,CHAR(10),""))+1)</f>
        <v/>
      </c>
      <c r="H12" s="5" t="inlineStr"/>
    </row>
    <row r="13">
      <c r="A13" s="5" t="inlineStr">
        <is>
          <t>RSV-12</t>
        </is>
      </c>
      <c r="B13" s="5" t="inlineStr">
        <is>
          <t>Illegal transitions the state machine must refuse</t>
        </is>
      </c>
      <c r="C13" s="5" t="inlineStr">
        <is>
          <t>refusal</t>
        </is>
      </c>
      <c r="D13" s="5" t="inlineStr">
        <is>
          <t>APX-RSV-01, APX-RSV-03</t>
        </is>
      </c>
      <c r="E13" s="5" t="inlineStr">
        <is>
          <t>Given Theo's noShow right and Priya's cancelled e2…0109. When a platform tries to PUT the no-show back to confirmed, tries to amend the cancelled one, and an agent tries to check the cancelled one in through the explicit link. Then two native 409s and one 409 right-not-linkable. Part 14 §14.1 now has the transition table (confirmed → amended | checkedIn | cancelled | noShow, amended → amended | checkedIn | cancelled | noShow, checkedIn moves only its planned times, cancelled and noShow are terminal) and Part 12 registers reservation-transition-illegal (was F-RSV-09); the native 409s stay ResponseStatus until the F-RSV-08 overlay lets them carry it.</t>
        </is>
      </c>
      <c r="F13" s="5" t="inlineStr">
        <is>
          <t>PUT /rights/assigned/e2000000-0000-4000-8000-000000000102 → 409
PUT /rights/assigned/e2000000-0000-4000-8000-000000000109 → 409
PUT /v1/sessions/f1000000-0000-4000-8000-000000000204/assigned-right → 409</t>
        </is>
      </c>
      <c r="G13" s="5">
        <f>IF(F13="",0,LEN(F13)-LEN(SUBSTITUTE(F13,CHAR(10),""))+1)</f>
        <v/>
      </c>
      <c r="H13" s="5" t="inlineStr"/>
    </row>
    <row r="14">
      <c r="A14" s="5" t="inlineStr">
        <is>
          <t>RSV-13</t>
        </is>
      </c>
      <c r="B14" s="5" t="inlineStr">
        <is>
          <t>Screen-pop: the caller's last reservations, by plate</t>
        </is>
      </c>
      <c r="C14" s="5" t="inlineStr">
        <is>
          <t>happy</t>
        </is>
      </c>
      <c r="D14" s="5" t="inlineStr">
        <is>
          <t>APX-RSV-02, APX-CORE-02</t>
        </is>
      </c>
      <c r="E14" s="5" t="inlineStr">
        <is>
          <t>Given Priya calls the intercom at exit lane 2 and the camera has her plate. When the console asks for her recent reservations by plate. Then 200 with up to ten summaries, newest planned start first, mixed states — the cancelled and no-show history is the dispute context. A plain APDS client can get the same rights through the native list with the credential filter and sees ordinary assigned rights. The plate key takes the optional country/stateProvince qualifiers (Part 14 §14.1a(4); was F-RSV-14), which the console fills from the LPR read.</t>
        </is>
      </c>
      <c r="F14" s="5" t="inlineStr">
        <is>
          <t>GET /v1/reservations/recent → 200
GET /rights/assigned → 200</t>
        </is>
      </c>
      <c r="G14" s="5">
        <f>IF(F14="",0,LEN(F14)-LEN(SUBSTITUTE(F14,CHAR(10),""))+1)</f>
        <v/>
      </c>
      <c r="H14" s="5" t="inlineStr"/>
    </row>
    <row r="15">
      <c r="A15" s="5" t="inlineStr">
        <is>
          <t>RSV-14</t>
        </is>
      </c>
      <c r="B15" s="5" t="inlineStr">
        <is>
          <t>The aggregator: local holder ids, re-minted place, plate as the join</t>
        </is>
      </c>
      <c r="C15" s="5" t="inlineStr">
        <is>
          <t>happy</t>
        </is>
      </c>
      <c r="D15" s="5" t="inlineStr">
        <is>
          <t>APX-RSV-02, APX-CORE-11</t>
        </is>
      </c>
      <c r="E15" s="5" t="inlineStr">
        <is>
          <t>Given Lakeside moved behind Metro Parking Hub, which fronts several garages and had to re-mint Lakeside's place id to b1…00a1 (Part 18 §18.2). When ParkAhead, still holding Priya's Lakeside holder id, asks the hub by holder; then asks by plate scoped to the new place id; then reads the place. Then the holder lookup returns an empty list (the id is local to the old endpoint, §14.1a, and an unknown holder is not an error), the plate lookup finds her, and the HierarchyElement carries the old id in operatorDefinedReference.</t>
        </is>
      </c>
      <c r="F15" s="5" t="inlineStr">
        <is>
          <t>GET /v1/reservations/recent → 200
GET /v1/reservations/recent → 200
GET /places/b1000000-0000-4000-8000-0000000000a1 → 200</t>
        </is>
      </c>
      <c r="G15" s="5">
        <f>IF(F15="",0,LEN(F15)-LEN(SUBSTITUTE(F15,CHAR(10),""))+1)</f>
        <v/>
      </c>
      <c r="H15" s="5" t="inlineStr"/>
    </row>
    <row r="16">
      <c r="A16" s="5" t="inlineStr">
        <is>
          <t>RSV-15</t>
        </is>
      </c>
      <c r="B16" s="5" t="inlineStr">
        <is>
          <t>Recent lookup refused: no key, and a window it does not have</t>
        </is>
      </c>
      <c r="C16" s="5" t="inlineStr">
        <is>
          <t>refusal</t>
        </is>
      </c>
      <c r="D16" s="5" t="inlineStr">
        <is>
          <t>APX-RSV-02, APX-CORE-05</t>
        </is>
      </c>
      <c r="E16" s="5" t="inlineStr">
        <is>
          <t>Given a console that sends the lookup without any key, and a dispute desk that wants "her reservations in June". When the first calls with no plate or holder, and the second adds from/to — first inverted, then correct, with a state filter. Then 400 invalid-request for the missing key and for the inverted window, and 200 for June's cancelled bookings (the operation now takes from, to, and state, and both keys together intersect; was F-RSV-13).</t>
        </is>
      </c>
      <c r="F16" s="5" t="inlineStr">
        <is>
          <t>GET /v1/reservations/recent → 400
GET /v1/reservations/recent → 400
GET /v1/reservations/recent → 200</t>
        </is>
      </c>
      <c r="G16" s="5">
        <f>IF(F16="",0,LEN(F16)-LEN(SUBSTITUTE(F16,CHAR(10),""))+1)</f>
        <v/>
      </c>
      <c r="H16" s="5" t="inlineStr"/>
    </row>
    <row r="17">
      <c r="A17" s="5" t="inlineStr">
        <is>
          <t>RSV-16</t>
        </is>
      </c>
      <c r="B17" s="5" t="inlineStr">
        <is>
          <t>Recent lookup: wrong scope, wrong grant, no grant, throttled, dead token</t>
        </is>
      </c>
      <c r="C17" s="5" t="inlineStr">
        <is>
          <t>security</t>
        </is>
      </c>
      <c r="D17" s="5" t="inlineStr">
        <is>
          <t>APX-CORE-06, APX-CORE-07, APX-CORE-08, APX-RSV-02</t>
        </is>
      </c>
      <c r="E17" s="5" t="inlineStr">
        <is>
          <t>Given five tokens. When a BI token with only apx.data:read looks up a plate; a ParkAhead token granted Lakeside asks with place= Harbor Deck, then with a place id that exists nowhere; a token with no apx_places claim asks by plate alone; a dashboard polls too fast; and an expired token asks. Then 403 insufficient-scope, 403 insufficient-grant, 404 target-not-found, an empty 200 (a lookup that names no place under an absent grant matches nothing and is never 403, Part 9 §9.3a), 429, and 401 unauthenticated. All are now declared (was F-RSV-12).</t>
        </is>
      </c>
      <c r="F17" s="5" t="inlineStr">
        <is>
          <t>GET /v1/reservations/recent → 403
GET /v1/reservations/recent → 403
GET /v1/reservations/recent → 404
GET /v1/reservations/recent → 200
GET /v1/reservations/recent → 429
GET /v1/reservations/recent → 401</t>
        </is>
      </c>
      <c r="G17" s="5">
        <f>IF(F17="",0,LEN(F17)-LEN(SUBSTITUTE(F17,CHAR(10),""))+1)</f>
        <v/>
      </c>
      <c r="H17" s="5" t="inlineStr"/>
    </row>
    <row r="18">
      <c r="A18" s="5" t="inlineStr">
        <is>
          <t>RSV-17</t>
        </is>
      </c>
      <c r="B18" s="5" t="inlineStr">
        <is>
          <t>Barcode-only reservation: the explicit link materializes</t>
        </is>
      </c>
      <c r="C18" s="5" t="inlineStr">
        <is>
          <t>happy</t>
        </is>
      </c>
      <c r="D18" s="5" t="inlineStr">
        <is>
          <t>APX-RSV-03, APX-RSV-01, APX-CORE-02</t>
        </is>
      </c>
      <c r="E18" s="5" t="inlineStr">
        <is>
          <t>Given Dev booked the barcode-only event reservation e2…0104 (code LKG-88301, no plate on file) and the entry lane, unable to read the code, issued a ticket and opened a drive-up session f1…0203 on the drive-up right e2…0199. When the agent links the session to the reservation, citing the presented code. Then 200 with the link; a plain APDS read of the session shows segments[].assignedRight now pointing at the reservation (§14.1b materialization); SessionUpdated is published; and the reservation reads checkedIn with checkInSession.</t>
        </is>
      </c>
      <c r="F18" s="5" t="inlineStr">
        <is>
          <t>PUT /v1/sessions/f1000000-0000-4000-8000-000000000203/assigned-right → 200
GET /sessions/f1000000-0000-4000-8000-000000000203 → 200
GET /rights/assigned/e2000000-0000-4000-8000-000000000104 → 200</t>
        </is>
      </c>
      <c r="G18" s="5">
        <f>IF(F18="",0,LEN(F18)-LEN(SUBSTITUTE(F18,CHAR(10),""))+1)</f>
        <v/>
      </c>
      <c r="H18" s="5" t="inlineStr"/>
    </row>
    <row r="19">
      <c r="A19" s="5" t="inlineStr">
        <is>
          <t>RSV-18</t>
        </is>
      </c>
      <c r="B19" s="5" t="inlineStr">
        <is>
          <t>Link replayed, then re-pointed</t>
        </is>
      </c>
      <c r="C19" s="5" t="inlineStr">
        <is>
          <t>edge</t>
        </is>
      </c>
      <c r="D19" s="5" t="inlineStr">
        <is>
          <t>APX-RSV-03</t>
        </is>
      </c>
      <c r="E19" s="5" t="inlineStr">
        <is>
          <t>Given the console lost the 200 from RSV-17. When it sends the identical PUT again. Then 200 with the same link and no second segment — the route is naturally idempotent and takes no Idempotency-Key. When a different agent then PUTs a different right (Dev's duplicate booking e2…0112) on the already-linked session, the answer is 409 right-not-linkable ("session already linked"): Part 14 §14.1b now says a link is never silently replaced, and re-pointing is the audited unlink followed by a new link (RSV-24; was F-RSV-16).</t>
        </is>
      </c>
      <c r="F19" s="5" t="inlineStr">
        <is>
          <t>PUT /v1/sessions/f1000000-0000-4000-8000-000000000203/assigned-right → 200
PUT /v1/sessions/f1000000-0000-4000-8000-000000000203/assigned-right → 409</t>
        </is>
      </c>
      <c r="G19" s="5">
        <f>IF(F19="",0,LEN(F19)-LEN(SUBSTITUTE(F19,CHAR(10),""))+1)</f>
        <v/>
      </c>
      <c r="H19" s="5" t="inlineStr"/>
    </row>
    <row r="20">
      <c r="A20" s="5" t="inlineStr">
        <is>
          <t>RSV-19</t>
        </is>
      </c>
      <c r="B20" s="5" t="inlineStr">
        <is>
          <t>Not linkable: consumed, not yet valid, wrong garage</t>
        </is>
      </c>
      <c r="C20" s="5" t="inlineStr">
        <is>
          <t>refusal</t>
        </is>
      </c>
      <c r="D20" s="5" t="inlineStr">
        <is>
          <t>APX-RSV-03</t>
        </is>
      </c>
      <c r="E20" s="5" t="inlineStr">
        <is>
          <t>Given a drive-up session f1…0204 at Lakeside exit lane 2 and three confirmations the driver waves at the intercom camera. When the agent tries each: Sam's right e2…0105, already consumed by session f1…0205; Priya's e2…0110, valid next Friday; and e2…0106, a Harbor Deck reservation. Then three 409 right-not-linkable, each naming why, exactly the three cases §14.1b lists.</t>
        </is>
      </c>
      <c r="F20" s="5" t="inlineStr">
        <is>
          <t>PUT /v1/sessions/f1000000-0000-4000-8000-000000000204/assigned-right → 409
PUT /v1/sessions/f1000000-0000-4000-8000-000000000204/assigned-right → 409
PUT /v1/sessions/f1000000-0000-4000-8000-000000000204/assigned-right → 409</t>
        </is>
      </c>
      <c r="G20" s="5">
        <f>IF(F20="",0,LEN(F20)-LEN(SUBSTITUTE(F20,CHAR(10),""))+1)</f>
        <v/>
      </c>
      <c r="H20" s="5" t="inlineStr"/>
    </row>
    <row r="21">
      <c r="A21" s="5" t="inlineStr">
        <is>
          <t>RSV-20</t>
        </is>
      </c>
      <c r="B21" s="5" t="inlineStr">
        <is>
          <t>Link: unknown session, unknown right, no right at all</t>
        </is>
      </c>
      <c r="C21" s="5" t="inlineStr">
        <is>
          <t>refusal</t>
        </is>
      </c>
      <c r="D21" s="5" t="inlineStr">
        <is>
          <t>APX-RSV-03, APX-CORE-05</t>
        </is>
      </c>
      <c r="E21" s="5" t="inlineStr">
        <is>
          <t>Given a console with a stale screen. When it links a session id that does not exist, then a right id that does not exist, then sends a body without assignedRight. Then 404 target-not-found twice, and 400 invalid-request, now declared and registered (was F-RSV-15).</t>
        </is>
      </c>
      <c r="F21" s="5" t="inlineStr">
        <is>
          <t>PUT /v1/sessions/f1000000-0000-4000-8000-0000000000ff/assigned-right → 404
PUT /v1/sessions/f1000000-0000-4000-8000-000000000204/assigned-right → 404
PUT /v1/sessions/f1000000-0000-4000-8000-000000000204/assigned-right → 400</t>
        </is>
      </c>
      <c r="G21" s="5">
        <f>IF(F21="",0,LEN(F21)-LEN(SUBSTITUTE(F21,CHAR(10),""))+1)</f>
        <v/>
      </c>
      <c r="H21" s="5" t="inlineStr"/>
    </row>
    <row r="22">
      <c r="A22" s="5" t="inlineStr">
        <is>
          <t>RSV-21</t>
        </is>
      </c>
      <c r="B22" s="5" t="inlineStr">
        <is>
          <t>Link: wrong scope, wrong grant, dead token, throttled</t>
        </is>
      </c>
      <c r="C22" s="5" t="inlineStr">
        <is>
          <t>security</t>
        </is>
      </c>
      <c r="D22" s="5" t="inlineStr">
        <is>
          <t>APX-CORE-07, APX-RSV-03</t>
        </is>
      </c>
      <c r="E22" s="5" t="inlineStr">
        <is>
          <t>Given four tokens. When a token with only apx.data:write links a session; a Lakeside-granted token links a Harbor Deck session f1…0207; an expired token links; and a runaway retry loop links. Then 403 insufficient-scope, 403 insufficient-grant, 401 unauthenticated, and 429 rate-limited, all declared (was F-RSV-15, F-CTL-07).</t>
        </is>
      </c>
      <c r="F22" s="5" t="inlineStr">
        <is>
          <t>PUT /v1/sessions/f1000000-0000-4000-8000-000000000204/assigned-right → 403
PUT /v1/sessions/f1000000-0000-4000-8000-000000000207/assigned-right → 403
PUT /v1/sessions/f1000000-0000-4000-8000-000000000204/assigned-right → 401
PUT /v1/sessions/f1000000-0000-4000-8000-000000000204/assigned-right → 429</t>
        </is>
      </c>
      <c r="G22" s="5">
        <f>IF(F22="",0,LEN(F22)-LEN(SUBSTITUTE(F22,CHAR(10),""))+1)</f>
        <v/>
      </c>
      <c r="H22" s="5" t="inlineStr"/>
    </row>
    <row r="23">
      <c r="A23" s="5" t="inlineStr">
        <is>
          <t>RSV-22</t>
        </is>
      </c>
      <c r="B23" s="5" t="inlineStr">
        <is>
          <t>Prepaid, but the entry camera misread the plate</t>
        </is>
      </c>
      <c r="C23" s="5" t="inlineStr">
        <is>
          <t>happy</t>
        </is>
      </c>
      <c r="D23" s="5" t="inlineStr">
        <is>
          <t>APX-RSV-02, APX-RSV-01</t>
        </is>
      </c>
      <c r="E23" s="5" t="inlineStr">
        <is>
          <t>Given Nadia prepaid e2…0107 for plate SVN-4821; the entry camera read 5VN-4B21 at 0.41, so the PARCS opened a plain transient session f1…0206 and the exit terminal wants full price (public scenario 14). When the agent looks up the misread plate (nothing), looks up the plate the customer reads out (the reservation), and corrects the session's plate citing the clean 0.97 exit read. Then the implementation's own matching binds the prepaid right: the reservation reads checkedIn with checkInSession, and the amount due drops. At an LPR facility the plate IS the link; no explicit link call was needed. The lookup qualifies the plate with its jurisdiction, so a Georgia SVN-4821 cannot merge into Nadia's Florida history (was F-RSV-14).</t>
        </is>
      </c>
      <c r="F23" s="5" t="inlineStr">
        <is>
          <t>GET /v1/reservations/recent → 200
GET /v1/reservations/recent → 200
PUT /v1/sessions/f1000000-0000-4000-8000-000000000206/plate → 200
GET /rights/assigned/e2000000-0000-4000-8000-000000000107 → 200</t>
        </is>
      </c>
      <c r="G23" s="5">
        <f>IF(F23="",0,LEN(F23)-LEN(SUBSTITUTE(F23,CHAR(10),""))+1)</f>
        <v/>
      </c>
      <c r="H23" s="5" t="inlineStr"/>
    </row>
    <row r="24">
      <c r="A24" s="5" t="inlineStr">
        <is>
          <t>RSV-23</t>
        </is>
      </c>
      <c r="B24" s="5" t="inlineStr">
        <is>
          <t>A vendor extension rides along; a malformed key does not</t>
        </is>
      </c>
      <c r="C24" s="5" t="inlineStr">
        <is>
          <t>edge</t>
        </is>
      </c>
      <c r="D24" s="5" t="inlineStr">
        <is>
          <t>APX-CORE-04, APX-RSV-01</t>
        </is>
      </c>
      <c r="E24" s="5" t="inlineStr">
        <is>
          <t>Given ParkAhead decorates Priya's next-Friday reservation e2…0110 with its own loyalty extension next to the reservation one. When it PUTs both and reads back; then a buggy build sends a key that violates the §4.3 pattern. Then both keys survive the round-trip untouched (tolerant reader, faithful writer), and the bad key is refused with a native 400. The refusal is server discipline, not schema: AssignedRight binds no Extensions schema, so the pattern is unenforced there (F-RSV-05).</t>
        </is>
      </c>
      <c r="F24" s="5" t="inlineStr">
        <is>
          <t>PUT /rights/assigned/e2000000-0000-4000-8000-000000000110 → 200
GET /rights/assigned/e2000000-0000-4000-8000-000000000110 → 200
PUT /rights/assigned/e2000000-0000-4000-8000-000000000110 → 400</t>
        </is>
      </c>
      <c r="G24" s="5">
        <f>IF(F24="",0,LEN(F24)-LEN(SUBSTITUTE(F24,CHAR(10),""))+1)</f>
        <v/>
      </c>
      <c r="H24" s="5" t="inlineStr"/>
    </row>
    <row r="25">
      <c r="A25" s="5" t="inlineStr">
        <is>
          <t>RSV-24</t>
        </is>
      </c>
      <c r="B25" s="5" t="inlineStr">
        <is>
          <t>Re-pointing done right: unlink, then link</t>
        </is>
      </c>
      <c r="C25" s="5" t="inlineStr">
        <is>
          <t>lifecycle</t>
        </is>
      </c>
      <c r="D25" s="5" t="inlineStr">
        <is>
          <t>APX-RSV-03, APX-CORE-05, APX-CORE-06, APX-CORE-07</t>
        </is>
      </c>
      <c r="E25" s="5" t="inlineStr">
        <is>
          <t>Given RSV-18's session f1…0203, linked to Dev's e2…0104 at Session version 2, and his duplicate booking e2…0112 that he wants applied instead. When the agent unlinks with a reason and If-Match: "2", repeats the unlink (lost response), links e2…0112, and a second console still on version 2 tries to link. Then 200 with unlinkedRight (the segment is back on the drive-up right and e2…0104 returns to confirmed, checkInSession cleared), a no-op 200 without unlinkedRight, 200 for the new link, and 409 version-conflict. The unlink refuses a body without reason (400), an unknown session (404), a stale version (409), a settled session (422), the wrong scope (403), a dead token (401), and a burst (429) — Part 14 §14.1b (was F-RSV-16).</t>
        </is>
      </c>
      <c r="F25" s="5" t="inlineStr">
        <is>
          <t>POST /v1/sessions/f1000000-0000-4000-8000-000000000203/assigned-right/unlink → 200
POST /v1/sessions/f1000000-0000-4000-8000-000000000203/assigned-right/unlink → 200
GET /rights/assigned/e2000000-0000-4000-8000-000000000104 → 200
PUT /v1/sessions/f1000000-0000-4000-8000-000000000203/assigned-right → 200
PUT /v1/sessions/f1000000-0000-4000-8000-000000000203/assigned-right → 409
POST /v1/sessions/f1000000-0000-4000-8000-000000000203/assigned-right/unlink → 400
POST /v1/sessions/f1000000-0000-4000-8000-0000000000ff/assigned-right/unlink → 404
POST /v1/sessions/f1000000-0000-4000-8000-000000000203/assigned-right/unlink → 409
POST /v1/sessions/f1000000-0000-4000-8000-000000000201/assigned-right/unlink → 422
POST /v1/sessions/f1000000-0000-4000-8000-000000000203/assigned-right/unlink → 403
POST /v1/sessions/f1000000-0000-4000-8000-000000000203/assigned-right/unlink → 401
POST /v1/sessions/f1000000-0000-4000-8000-000000000203/assigned-right/unlink → 429</t>
        </is>
      </c>
      <c r="G25" s="5">
        <f>IF(F25="",0,LEN(F25)-LEN(SUBSTITUTE(F25,CHAR(10),""))+1)</f>
        <v/>
      </c>
      <c r="H25" s="5" t="inlineStr"/>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H2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4" customWidth="1" min="2" max="2"/>
    <col width="11" customWidth="1" min="3" max="3"/>
    <col width="26" customWidth="1" min="4" max="4"/>
    <col width="90" customWidth="1" min="5" max="5"/>
    <col width="52" customWidth="1" min="6" max="6"/>
    <col width="10" customWidth="1" min="7" max="7"/>
    <col width="14" customWidth="1" min="8" max="8"/>
  </cols>
  <sheetData>
    <row r="1">
      <c r="A1" s="3" t="inlineStr">
        <is>
          <t>ID</t>
        </is>
      </c>
      <c r="B1" s="3" t="inlineStr">
        <is>
          <t>Title</t>
        </is>
      </c>
      <c r="C1" s="3" t="inlineStr">
        <is>
          <t>Kind</t>
        </is>
      </c>
      <c r="D1" s="3" t="inlineStr">
        <is>
          <t>Annex A rows</t>
        </is>
      </c>
      <c r="E1" s="3" t="inlineStr">
        <is>
          <t>Scenario (Given / When / Then)</t>
        </is>
      </c>
      <c r="F1" s="3" t="inlineStr">
        <is>
          <t>Exchanges (request → status)</t>
        </is>
      </c>
      <c r="G1" s="3" t="inlineStr">
        <is>
          <t>Exchange count</t>
        </is>
      </c>
      <c r="H1" s="3" t="inlineStr">
        <is>
          <t>Open spec gap</t>
        </is>
      </c>
    </row>
    <row r="2">
      <c r="A2" s="5" t="inlineStr">
        <is>
          <t>RES-01</t>
        </is>
      </c>
      <c r="B2" s="5" t="inlineStr">
        <is>
          <t>The intercom at exit lane 2 becomes a context before anyone speaks</t>
        </is>
      </c>
      <c r="C2" s="5" t="inlineStr">
        <is>
          <t>happy</t>
        </is>
      </c>
      <c r="D2" s="5" t="inlineStr">
        <is>
          <t>APX-RES-01, APX-RES-03, APX-RES-05</t>
        </is>
      </c>
      <c r="E2" s="5" t="inlineStr">
        <is>
          <t>Given J. Smith, a monthly parker with a $185.00 balance hold, is denied at exit lane 2 and presses the intercom; the call platform maps that intercom to the lane on its own side. When it posts the lane with an opaque interactionId and a freshly minted correlationId. Then 201 with a full context: the issue classified, the live lane status, the account section (the token holds apx.accounts:read), two courtesy exits already in recentOverrides, and three policy decisions — a payment link allowed, a courtesy exit refused with a machine-readable reason, and a gate vend gated behind a supervisor. recommendedAction names one of the allowed ones. Each OverrideRecord now says which agent granted the earlier courtesy and why, copied from the Command (was F-RES-13).</t>
        </is>
      </c>
      <c r="F2" s="5" t="inlineStr">
        <is>
          <t>POST /v1/resolution/contexts → 201</t>
        </is>
      </c>
      <c r="G2" s="5">
        <f>IF(F2="",0,LEN(F2)-LEN(SUBSTITUTE(F2,CHAR(10),""))+1)</f>
        <v/>
      </c>
      <c r="H2" s="5" t="inlineStr"/>
    </row>
    <row r="3">
      <c r="A3" s="5" t="inlineStr">
        <is>
          <t>RES-02</t>
        </is>
      </c>
      <c r="B3" s="5" t="inlineStr">
        <is>
          <t>Preloading: the server creates the context on the second denial</t>
        </is>
      </c>
      <c r="C3" s="5" t="inlineStr">
        <is>
          <t>lifecycle</t>
        </is>
      </c>
      <c r="D3" s="5" t="inlineStr">
        <is>
          <t>APX-RES-01</t>
        </is>
      </c>
      <c r="E3" s="5" t="inlineStr">
        <is>
          <t>Given M. Rivera badges twice at entry lane 1 and is denied twice. When the PARCS creates a context on its own (§17.2 preloading) and publishes apx.resolution.context.created.v1, bound to the place per Part 8 §8.5 by data.place. Then the agent console receives the envelope before the call is answered, reads the context by id, and gets the same version: 1 because nothing material changed.</t>
        </is>
      </c>
      <c r="F3" s="5" t="inlineStr">
        <is>
          <t>GET /v1/resolution/contexts/e5000000-0000-4000-8000-000000000002 → 200</t>
        </is>
      </c>
      <c r="G3" s="5">
        <f>IF(F3="",0,LEN(F3)-LEN(SUBSTITUTE(F3,CHAR(10),""))+1)</f>
        <v/>
      </c>
      <c r="H3" s="5" t="inlineStr"/>
    </row>
    <row r="4">
      <c r="A4" s="5" t="inlineStr">
        <is>
          <t>RES-03</t>
        </is>
      </c>
      <c r="B4" s="5" t="inlineStr">
        <is>
          <t>"I lost my ticket": a plate over chat finds the entry</t>
        </is>
      </c>
      <c r="C4" s="5" t="inlineStr">
        <is>
          <t>happy</t>
        </is>
      </c>
      <c r="D4" s="5" t="inlineStr">
        <is>
          <t>APX-RES-01, APX-RES-05</t>
        </is>
      </c>
      <c r="E4" s="5" t="inlineStr">
        <is>
          <t>Given a driver on the web chat says they lost their ticket and types their plate; the chat platform knows the garage but no lane. When it posts plate + place. Then the entry LPR read resolves the open session, so no lost-ticket fee is needed: policy allows a payment link on the session for the true amount and lists nothing physical, because no lane is known. laneStatus is absent — graceful degradation, not an error.</t>
        </is>
      </c>
      <c r="F4" s="5" t="inlineStr">
        <is>
          <t>POST /v1/resolution/contexts → 201</t>
        </is>
      </c>
      <c r="G4" s="5">
        <f>IF(F4="",0,LEN(F4)-LEN(SUBSTITUTE(F4,CHAR(10),""))+1)</f>
        <v/>
      </c>
      <c r="H4" s="5" t="inlineStr"/>
    </row>
    <row r="5">
      <c r="A5" s="5" t="inlineStr">
        <is>
          <t>RES-04</t>
        </is>
      </c>
      <c r="B5" s="5" t="inlineStr">
        <is>
          <t>Paid ticket, gate did not open: the AI agent presses one button and claims no more than the sensor confirms</t>
        </is>
      </c>
      <c r="C5" s="5" t="inlineStr">
        <is>
          <t>happy</t>
        </is>
      </c>
      <c r="D5" s="5" t="inlineStr">
        <is>
          <t>APX-RES-03, APX-RES-05</t>
        </is>
      </c>
      <c r="E5" s="5" t="inlineStr">
        <is>
          <t>Given a driver at exit lane 2 reads a ticket number to the voice bot after a paid ticket failed to vend. When the bot posts ticketNumber + place. Then the context shows the ticket paid in full and the gate healthy, policy allows a single vendGate and refuses a hold-open, and the bot executes exactly the recommended action with agentType: ai. At confirmationLevel: accepted the bot may say only "I have sent the open command"; after the poll shows physicallyConfirmed it may say "the gate is open".</t>
        </is>
      </c>
      <c r="F5" s="5" t="inlineStr">
        <is>
          <t>POST /v1/resolution/contexts → 201
POST /v1/commands → 202
GET /v1/commands/d1000000-0000-4000-8000-000000000204 → 200</t>
        </is>
      </c>
      <c r="G5" s="5">
        <f>IF(F5="",0,LEN(F5)-LEN(SUBSTITUTE(F5,CHAR(10),""))+1)</f>
        <v/>
      </c>
      <c r="H5" s="5" t="inlineStr"/>
    </row>
    <row r="6">
      <c r="A6" s="5" t="inlineStr">
        <is>
          <t>RES-05</t>
        </is>
      </c>
      <c r="B6" s="5" t="inlineStr">
        <is>
          <t>Card declined at the pay-in-lane terminal: the payment link is the way out</t>
        </is>
      </c>
      <c r="C6" s="5" t="inlineStr">
        <is>
          <t>happy</t>
        </is>
      </c>
      <c r="D6" s="5" t="inlineStr">
        <is>
          <t>APX-RES-01, APX-RES-03, APX-RES-05</t>
        </is>
      </c>
      <c r="E6" s="5" t="inlineStr">
        <is>
          <t>Given a transient parker's card is declined twice at terminal c1…0003; the terminal's help button is inventoried, so the platform anchors the interaction to the device. When the agent sends a payment link for the ticket, the console retries after a timeout with the same key, a bug reuses the key with a different body, a client sends an unsupported channel, and a read-only token tries. Then 201, 200 with the ORIGINAL link, 409 idempotency-conflict, 400 invalid-request (registered since F-RES-01), and 403 insufficient-scope. The link never carries a PAN; sentTo is masked.</t>
        </is>
      </c>
      <c r="F6" s="5" t="inlineStr">
        <is>
          <t>POST /v1/resolution/contexts → 201
POST /v1/payment-links → 201
POST /v1/payment-links → 200
POST /v1/payment-links → 409
POST /v1/payment-links → 400
POST /v1/payment-links → 403</t>
        </is>
      </c>
      <c r="G6" s="5">
        <f>IF(F6="",0,LEN(F6)-LEN(SUBSTITUTE(F6,CHAR(10),""))+1)</f>
        <v/>
      </c>
      <c r="H6" s="5" t="inlineStr"/>
    </row>
    <row r="7">
      <c r="A7" s="5" t="inlineStr">
        <is>
          <t>RES-06</t>
        </is>
      </c>
      <c r="B7" s="5" t="inlineStr">
        <is>
          <t>"The restaurant validated me": a ticket number, a provider check, a command</t>
        </is>
      </c>
      <c r="C7" s="5" t="inlineStr">
        <is>
          <t>happy</t>
        </is>
      </c>
      <c r="D7" s="5" t="inlineStr">
        <is>
          <t>APX-RES-03, APX-RES-05</t>
        </is>
      </c>
      <c r="E7" s="5" t="inlineStr">
        <is>
          <t>Given a driver at exit lane 2 sees $14.00 due and claims a Harbor Restaurant validation. When the agent posts the ticket number and the lane. Then the context shows an unvalidated ticket, policy allows applyValidation and refuses a vend, and the execution descriptor sends the agent to the command plane with the context and correlation id attached. The AI classifies and proposes; the server decided.</t>
        </is>
      </c>
      <c r="F7" s="5" t="inlineStr">
        <is>
          <t>POST /v1/resolution/contexts → 201
POST /v1/commands → 202</t>
        </is>
      </c>
      <c r="G7" s="5">
        <f>IF(F7="",0,LEN(F7)-LEN(SUBSTITUTE(F7,CHAR(10),""))+1)</f>
        <v/>
      </c>
      <c r="H7" s="5" t="inlineStr"/>
    </row>
    <row r="8">
      <c r="A8" s="5" t="inlineStr">
        <is>
          <t>RES-07</t>
        </is>
      </c>
      <c r="B8" s="5" t="inlineStr">
        <is>
          <t>Rate dispute: the policy decisions bind the command plane</t>
        </is>
      </c>
      <c r="C8" s="5" t="inlineStr">
        <is>
          <t>refusal</t>
        </is>
      </c>
      <c r="D8" s="5" t="inlineStr">
        <is>
          <t>APX-RES-03, APX-RES-04</t>
        </is>
      </c>
      <c r="E8" s="5" t="inlineStr">
        <is>
          <t>Given a context whose policy says pushRate requires supervisor approval, holdGateOpen is not allowed, and closeLane is not listed at all. When the agent pushes the corrected table without approval, then with it; the AI agent tries the hold-open; and a console sends a closeLane naming the context. Then 403 approval-required, 202, 403 action-not-allowed, and — for the unlisted type — 403 action-not-allowed, which Part 17 §17.3 now requires: not offered by the named context is not allowed (was F-RES-11).</t>
        </is>
      </c>
      <c r="F8" s="5" t="inlineStr">
        <is>
          <t>POST /v1/resolution/contexts → 201
POST /v1/commands → 403
POST /v1/commands → 202
POST /v1/commands → 403
POST /v1/commands → 403</t>
        </is>
      </c>
      <c r="G8" s="5">
        <f>IF(F8="",0,LEN(F8)-LEN(SUBSTITUTE(F8,CHAR(10),""))+1)</f>
        <v/>
      </c>
      <c r="H8" s="5" t="inlineStr"/>
    </row>
    <row r="9">
      <c r="A9" s="5" t="inlineStr">
        <is>
          <t>RES-08</t>
        </is>
      </c>
      <c r="B9" s="5" t="inlineStr">
        <is>
          <t>"It says I'm already inside": passback read, reset, re-read</t>
        </is>
      </c>
      <c r="C9" s="5" t="inlineStr">
        <is>
          <t>happy</t>
        </is>
      </c>
      <c r="D9" s="5" t="inlineStr">
        <is>
          <t>APX-RES-07, APX-RES-01, APX-RES-05</t>
        </is>
      </c>
      <c r="E9" s="5" t="inlineStr">
        <is>
          <t>Given M. Rivera's credential is recorded inside because yesterday's exit was attendant-waved and never read. When the platform posts the credential and the entry lane, the console refreshes the passback overlay on its own read, the agent issues resetPassback, and re-reads. Then the context's passback section says why, policy allows the reset and refuses a blind vend, and the overlay returns to normal with no override counted against courtesy policy.</t>
        </is>
      </c>
      <c r="F9" s="5" t="inlineStr">
        <is>
          <t>POST /v1/resolution/contexts → 201
GET /v1/credentials/c3000000-0000-4000-8000-000000000002/passback → 200
POST /v1/commands → 202
GET /v1/credentials/c3000000-0000-4000-8000-000000000002/passback → 200</t>
        </is>
      </c>
      <c r="G9" s="5">
        <f>IF(F9="",0,LEN(F9)-LEN(SUBSTITUTE(F9,CHAR(10),""))+1)</f>
        <v/>
      </c>
      <c r="H9" s="5" t="inlineStr"/>
    </row>
    <row r="10">
      <c r="A10" s="5" t="inlineStr">
        <is>
          <t>RES-09</t>
        </is>
      </c>
      <c r="B10" s="5" t="inlineStr">
        <is>
          <t>forceOut, forceIn, and a credential nobody tracks</t>
        </is>
      </c>
      <c r="C10" s="5" t="inlineStr">
        <is>
          <t>lifecycle</t>
        </is>
      </c>
      <c r="D10" s="5" t="inlineStr">
        <is>
          <t>APX-RES-07</t>
        </is>
      </c>
      <c r="E10" s="5" t="inlineStr">
        <is>
          <t>Given a night of construction egress where the attendant waved out forty monthly cars. When the supervisor forces one credential outside after the fact, later forces it inside when the driver is physically parked and the entry read was missed, and the console asks for the passback status of a transient credential the site does not track, and of an id that does not exist. Then 202, 200 outside, 202, 200 state: unknown for the untracked credential, and 404 only for the unknown id (Part 17 §17.8; was F-RES-07).</t>
        </is>
      </c>
      <c r="F10" s="5" t="inlineStr">
        <is>
          <t>POST /v1/commands → 202
GET /v1/credentials/c3000000-0000-4000-8000-000000000001/passback → 200
POST /v1/commands → 202
GET /v1/credentials/c3000000-0000-4000-8000-0000000000fe/passback → 200
GET /v1/credentials/c3000000-0000-4000-8000-0000000000ff/passback → 404</t>
        </is>
      </c>
      <c r="G10" s="5">
        <f>IF(F10="",0,LEN(F10)-LEN(SUBSTITUTE(F10,CHAR(10),""))+1)</f>
        <v/>
      </c>
      <c r="H10" s="5" t="inlineStr"/>
    </row>
    <row r="11">
      <c r="A11" s="5" t="inlineStr">
        <is>
          <t>RES-10</t>
        </is>
      </c>
      <c r="B11" s="5" t="inlineStr">
        <is>
          <t>"I prepaid but it wants full price": candidates, correction, re-read</t>
        </is>
      </c>
      <c r="C11" s="5" t="inlineStr">
        <is>
          <t>happy</t>
        </is>
      </c>
      <c r="D11" s="5" t="inlineStr">
        <is>
          <t>APX-RES-08, APX-RES-01, APX-RES-05</t>
        </is>
      </c>
      <c r="E11" s="5" t="inlineStr">
        <is>
          <t>Given the entry camera read SVN-4821 as 5VN-4B21 at 0.41, so the reservation never linked. When the platform posts the lane plus the reservation code the customer reads out, the agent lists the lane's candidates since the exit approach, writes the top one to the session citing its Observation, and re-reads the context. Then the context names the unlinked reservation and allows only the plate correction; the candidates come best-first with access-controlled imagery; the PUT returns the corrected association; and the re-read is version: 2 with access granted and nothing left to do.</t>
        </is>
      </c>
      <c r="F11" s="5" t="inlineStr">
        <is>
          <t>POST /v1/resolution/contexts → 201
GET /v1/lpr/candidates → 200
PUT /v1/sessions/c4000000-0000-4000-8000-000000000031/plate → 200
GET /v1/resolution/contexts/e5000000-0000-4000-8000-000000000010 → 200</t>
        </is>
      </c>
      <c r="G11" s="5">
        <f>IF(F11="",0,LEN(F11)-LEN(SUBSTITUTE(F11,CHAR(10),""))+1)</f>
        <v/>
      </c>
      <c r="H11" s="5" t="inlineStr"/>
    </row>
    <row r="12">
      <c r="A12" s="5" t="inlineStr">
        <is>
          <t>RES-11</t>
        </is>
      </c>
      <c r="B12" s="5" t="inlineStr">
        <is>
          <t>No plate on the session: the engine's second choice was the right one</t>
        </is>
      </c>
      <c r="C12" s="5" t="inlineStr">
        <is>
          <t>happy</t>
        </is>
      </c>
      <c r="D12" s="5" t="inlineStr">
        <is>
          <t>APX-RES-08</t>
        </is>
      </c>
      <c r="E12" s="5" t="inlineStr">
        <is>
          <t>Given a session opened with a plate the engine could not settle on; the back-office console already holds the session id. When it resolves a context by session alone, the agent lists candidates by session, sees the winning read carried alternateReads in its Part 13 §13.3a detail, and writes the alternate; then a console asks for candidates with neither session nor lane, a BI token without apx.lpr:read asks, and someone corrects a session that does not exist. Then 201 classified plateUnresolved, 200, 200, 400 invalid-request (registered since F-RES-01), 403 insufficient-scope, 404 target-not-found.</t>
        </is>
      </c>
      <c r="F12" s="5" t="inlineStr">
        <is>
          <t>POST /v1/resolution/contexts → 201
GET /v1/lpr/candidates → 200
PUT /v1/sessions/c4000000-0000-4000-8000-000000000041/plate → 200
GET /v1/lpr/candidates → 400
GET /v1/lpr/candidates → 403
PUT /v1/sessions/c4000000-0000-4000-8000-0000000000ff/plate → 404</t>
        </is>
      </c>
      <c r="G12" s="5">
        <f>IF(F12="",0,LEN(F12)-LEN(SUBSTITUTE(F12,CHAR(10),""))+1)</f>
        <v/>
      </c>
      <c r="H12" s="5" t="inlineStr"/>
    </row>
    <row r="13">
      <c r="A13" s="5" t="inlineStr">
        <is>
          <t>RES-12</t>
        </is>
      </c>
      <c r="B13" s="5" t="inlineStr">
        <is>
          <t>Barcode-only reservation: the explicit session ↔ right link</t>
        </is>
      </c>
      <c r="C13" s="5" t="inlineStr">
        <is>
          <t>happy</t>
        </is>
      </c>
      <c r="D13" s="5" t="inlineStr">
        <is>
          <t>APX-RES-01, APX-RES-05</t>
        </is>
      </c>
      <c r="E13" s="5" t="inlineStr">
        <is>
          <t>Given Harbor Restaurant's shuttle lot sells barcode reservations and the customer's code was never scanned at entry, so no plate can carry the link. When the context resolves the reservation from the code and the agent applies the link with the code as evidence. Then policy lists put-apx-v1-sessions-id-assigned-right as the domain action, the PUT returns the applied link, and the prepaid rate follows from the implementation's normal rating.</t>
        </is>
      </c>
      <c r="F13" s="5" t="inlineStr">
        <is>
          <t>POST /v1/resolution/contexts → 201
PUT /v1/sessions/c4000000-0000-4000-8000-000000000032/assigned-right → 200</t>
        </is>
      </c>
      <c r="G13" s="5">
        <f>IF(F13="",0,LEN(F13)-LEN(SUBSTITUTE(F13,CHAR(10),""))+1)</f>
        <v/>
      </c>
      <c r="H13" s="5" t="inlineStr"/>
    </row>
    <row r="14">
      <c r="A14" s="5" t="inlineStr">
        <is>
          <t>RES-13</t>
        </is>
      </c>
      <c r="B14" s="5" t="inlineStr">
        <is>
          <t>The link is refused: consumed, unknown, or out of scope</t>
        </is>
      </c>
      <c r="C14" s="5" t="inlineStr">
        <is>
          <t>refusal</t>
        </is>
      </c>
      <c r="D14" s="5" t="inlineStr">
        <is>
          <t>APX-RES-01</t>
        </is>
      </c>
      <c r="E14" s="5" t="inlineStr">
        <is>
          <t>Given three more link attempts. When the reservation was already consumed by another session earlier tonight, the AssignedRight id does not exist, and a token without apx.reservations:manage tries. Then 409 right-not-linkable, 404 target-not-found, 403 insufficient-scope. Nothing materializes in the APDS Session in any of the three.</t>
        </is>
      </c>
      <c r="F14" s="5" t="inlineStr">
        <is>
          <t>PUT /v1/sessions/c4000000-0000-4000-8000-000000000033/assigned-right → 409
PUT /v1/sessions/c4000000-0000-4000-8000-000000000033/assigned-right → 404
PUT /v1/sessions/c4000000-0000-4000-8000-000000000033/assigned-right → 403</t>
        </is>
      </c>
      <c r="G14" s="5">
        <f>IF(F14="",0,LEN(F14)-LEN(SUBSTITUTE(F14,CHAR(10),""))+1)</f>
        <v/>
      </c>
      <c r="H14" s="5" t="inlineStr"/>
    </row>
    <row r="15">
      <c r="A15" s="5" t="inlineStr">
        <is>
          <t>RES-14</t>
        </is>
      </c>
      <c r="B15" s="5" t="inlineStr">
        <is>
          <t>"The machine won't take my card": the fault is in devices[] before anyone retries</t>
        </is>
      </c>
      <c r="C15" s="5" t="inlineStr">
        <is>
          <t>happy</t>
        </is>
      </c>
      <c r="D15" s="5" t="inlineStr">
        <is>
          <t>APX-RES-03, APX-RES-05</t>
        </is>
      </c>
      <c r="E15" s="5" t="inlineStr">
        <is>
          <t>Given the pay-in-lane terminal's card reader faulted four minutes ago. When the intercom call resolves the lane. Then the context carries the live device overlay, policy allows a free vend because the fault is the operator's, gates a remote restart behind a maintenance role, and recommends the vend. Where apx-alerts is deployed the fault already raised an alert; this module only needs to show it.</t>
        </is>
      </c>
      <c r="F15" s="5" t="inlineStr">
        <is>
          <t>POST /v1/resolution/contexts → 201</t>
        </is>
      </c>
      <c r="G15" s="5">
        <f>IF(F15="",0,LEN(F15)-LEN(SUBSTITUTE(F15,CHAR(10),""))+1)</f>
        <v/>
      </c>
      <c r="H15" s="5" t="inlineStr"/>
    </row>
    <row r="16">
      <c r="A16" s="5" t="inlineStr">
        <is>
          <t>RES-15</t>
        </is>
      </c>
      <c r="B16" s="5" t="inlineStr">
        <is>
          <t>The account service is slow: partial first, full on re-read</t>
        </is>
      </c>
      <c r="C16" s="5" t="inlineStr">
        <is>
          <t>lifecycle</t>
        </is>
      </c>
      <c r="D16" s="5" t="inlineStr">
        <is>
          <t>APX-RES-02, APX-RES-03</t>
        </is>
      </c>
      <c r="E16" s="5" t="inlineStr">
        <is>
          <t>Given the operator's account service is answering in eight seconds tonight. When the platform resolves a monthly credential at exit lane 2. Then the server answers within its budget with status: partial, names the sources still resolving, classifies the issue as unknown, and lists no actions rather than guessing; the re-read a few seconds later is full, version: 2, classified, with decisions; and the cheap allowed-actions read returns the same decisions as data[].</t>
        </is>
      </c>
      <c r="F16" s="5" t="inlineStr">
        <is>
          <t>POST /v1/resolution/contexts → 201
GET /v1/resolution/contexts/e5000000-0000-4000-8000-000000000015 → 200
GET /v1/resolution/contexts/e5000000-0000-4000-8000-000000000015/allowed-actions → 200</t>
        </is>
      </c>
      <c r="G16" s="5">
        <f>IF(F16="",0,LEN(F16)-LEN(SUBSTITUTE(F16,CHAR(10),""))+1)</f>
        <v/>
      </c>
      <c r="H16" s="5" t="inlineStr"/>
    </row>
    <row r="17">
      <c r="A17" s="5" t="inlineStr">
        <is>
          <t>RES-16</t>
        </is>
      </c>
      <c r="B17" s="5" t="inlineStr">
        <is>
          <t>Time passes: decisions change, then the context expires</t>
        </is>
      </c>
      <c r="C17" s="5" t="inlineStr">
        <is>
          <t>lifecycle</t>
        </is>
      </c>
      <c r="D17" s="5" t="inlineStr">
        <is>
          <t>APX-RES-03, APX-RES-05</t>
        </is>
      </c>
      <c r="E17" s="5" t="inlineStr">
        <is>
          <t>Given the payment link from RES-01's episode was paid three minutes after the context was computed. When the agent re-evaluates before touching the gate, and — an hour and a half later — a supervisor opens the same context from the shift log. Then the re-evaluation now allows vendGate without approval and drops the payment link; the late reads are 404 because contexts MAY expire (≥ 1 hour recommended) and the caller must re-resolve. Part 17 §17.2 now says the server SHOULD record the context version its check used in the command's audit trail and retain those decisions after expiry; the Command.resolutionContext field itself still cannot carry the version on the wire (F-RES-10, left open for the control schema owner).</t>
        </is>
      </c>
      <c r="F17" s="5" t="inlineStr">
        <is>
          <t>GET /v1/resolution/contexts/e5000000-0000-4000-8000-000000000001/allowed-actions → 200
GET /v1/resolution/contexts/e5000000-0000-4000-8000-000000000001 → 404
GET /v1/resolution/contexts/e5000000-0000-4000-8000-000000000001/allowed-actions → 404</t>
        </is>
      </c>
      <c r="G17" s="5">
        <f>IF(F17="",0,LEN(F17)-LEN(SUBSTITUTE(F17,CHAR(10),""))+1)</f>
        <v/>
      </c>
      <c r="H17" s="5" t="inlineStr"/>
    </row>
    <row r="18">
      <c r="A18" s="5" t="inlineStr">
        <is>
          <t>RES-17</t>
        </is>
      </c>
      <c r="B18" s="5" t="inlineStr">
        <is>
          <t>Nothing to resolve: no identifier, a phone number, an unknown ticket</t>
        </is>
      </c>
      <c r="C18" s="5" t="inlineStr">
        <is>
          <t>refusal</t>
        </is>
      </c>
      <c r="D18" s="5" t="inlineStr">
        <is>
          <t>APX-RES-01</t>
        </is>
      </c>
      <c r="E18" s="5" t="inlineStr">
        <is>
          <t>Given three broken callers. When one sends only interactionId and channel (schema-valid: minProperties: 1 counts them), one sends the caller's phone number as if APX were a telephony system, and one sends a ticket number no PARCS at this place ever issued. Then 400 invalid-request, 400 invalid-request, and 404. Part 17 §17.1 now names the nine identifying members and says correlation metadata does not count and unknown members are ignored (was F-RES-02); the schema still passes the first two bodies, because narrowing minProperties: 1 to an anyOf would reject bodies existing clients send (breaking), so the server's 400 carries the rule. invalid-request is registered (was F-RES-01).</t>
        </is>
      </c>
      <c r="F18" s="5" t="inlineStr">
        <is>
          <t>POST /v1/resolution/contexts → 400
POST /v1/resolution/contexts → 400
POST /v1/resolution/contexts → 404</t>
        </is>
      </c>
      <c r="G18" s="5">
        <f>IF(F18="",0,LEN(F18)-LEN(SUBSTITUTE(F18,CHAR(10),""))+1)</f>
        <v/>
      </c>
      <c r="H18" s="5" t="inlineStr"/>
    </row>
    <row r="19">
      <c r="A19" s="5" t="inlineStr">
        <is>
          <t>RES-18</t>
        </is>
      </c>
      <c r="B19" s="5" t="inlineStr">
        <is>
          <t>Scopes and grants: projection, refusal, fail-closed, and a gated domain write</t>
        </is>
      </c>
      <c r="C19" s="5" t="inlineStr">
        <is>
          <t>security</t>
        </is>
      </c>
      <c r="D19" s="5" t="inlineStr">
        <is>
          <t>APX-RES-02, APX-RES-04, APX-CORE-06, APX-CORE-07, APX-CORE-08</t>
        </is>
      </c>
      <c r="E19" s="5" t="inlineStr">
        <is>
          <t>Given six tokens. When a token with apx.resolution:read but without apx.accounts:read resolves J. Smith's denial; a BI token with only apx.data:read posts a context; Harbor Deck's operator reads a Lakeside context by id; the BI token re-evaluates actions; a Lakeside token reads passback for a credential whose last access was at Harbor Deck; a token with no apx_places claim resolves a lane; and an agent corrects a plate that policy said needs a supervisor. Then 201 with the account and payments sections omitted (never a privilege escalation), 403 insufficient-scope, 403 insufficient-grant, 403 insufficient-scope, 403 insufficient-grant, 403 insufficient-grant (fail-closed), and 403 approval-required — which the retry now satisfies with the body's approval member (Part 17 §17.3; was F-RES-04).</t>
        </is>
      </c>
      <c r="F19" s="5" t="inlineStr">
        <is>
          <t>POST /v1/resolution/contexts → 201
POST /v1/resolution/contexts → 403
GET /v1/resolution/contexts/e5000000-0000-4000-8000-000000000001 → 403
GET /v1/resolution/contexts/e5000000-0000-4000-8000-000000000001/allowed-actions → 403
GET /v1/credentials/c3000000-0000-4000-8000-000000000077/passback → 403
POST /v1/resolution/contexts → 403
PUT /v1/sessions/c4000000-0000-4000-8000-000000000043/plate → 403
PUT /v1/sessions/c4000000-0000-4000-8000-000000000043/plate → 200</t>
        </is>
      </c>
      <c r="G19" s="5">
        <f>IF(F19="",0,LEN(F19)-LEN(SUBSTITUTE(F19,CHAR(10),""))+1)</f>
        <v/>
      </c>
      <c r="H19" s="5" t="inlineStr"/>
    </row>
    <row r="20">
      <c r="A20" s="5" t="inlineStr">
        <is>
          <t>RES-19</t>
        </is>
      </c>
      <c r="B20" s="5" t="inlineStr">
        <is>
          <t>Recording the interaction: a human, the event, and an AI that says only what was confirmed</t>
        </is>
      </c>
      <c r="C20" s="5" t="inlineStr">
        <is>
          <t>happy</t>
        </is>
      </c>
      <c r="D20" s="5" t="inlineStr">
        <is>
          <t>APX-RES-06</t>
        </is>
      </c>
      <c r="E20" s="5" t="inlineStr">
        <is>
          <t>Given J. Okafor closes the RES-01 call after the payment link was paid, and the voice bot closes the RES-04 call after the sensor confirmed the gate. When each records the interaction — summary, subjects, the actions taken, the correlation id, and (for the human) an operator CRM case in extensions. Then 201 each, the server assigns id and version, publishes apx.support.interaction.recorded.v1, and the AI's summary states the outcome at the confirmation level it reached, not beyond. No transcript is stored. (An interaction opened at answer time and completed later with PUT /v1/support/interactions/{id} is RES-26; was F-RES-12.)</t>
        </is>
      </c>
      <c r="F20" s="5" t="inlineStr">
        <is>
          <t>POST /v1/support/interactions → 201
POST /v1/support/interactions → 201</t>
        </is>
      </c>
      <c r="G20" s="5">
        <f>IF(F20="",0,LEN(F20)-LEN(SUBSTITUTE(F20,CHAR(10),""))+1)</f>
        <v/>
      </c>
      <c r="H20" s="5" t="inlineStr"/>
    </row>
    <row r="21">
      <c r="A21" s="5" t="inlineStr">
        <is>
          <t>RES-20</t>
        </is>
      </c>
      <c r="B21" s="5" t="inlineStr">
        <is>
          <t>"They called twice this week": history by plate, by holder, and inside the next context</t>
        </is>
      </c>
      <c r="C21" s="5" t="inlineStr">
        <is>
          <t>happy</t>
        </is>
      </c>
      <c r="D21" s="5" t="inlineStr">
        <is>
          <t>APX-RES-06, APX-RES-01, APX-CORE-04</t>
        </is>
      </c>
      <c r="E21" s="5" t="inlineStr">
        <is>
          <t>Given the two records from RES-19 and an older one. When a supervisor queries by plate, then by holder since Monday, and J. Smith presses the intercom again on Friday. Then paginated lists in the APDS {meta, data} shape with the CRM extension preserved verbatim (round-trip), and the new context carries the earlier interaction in supportHistory so the agent starts with the story.</t>
        </is>
      </c>
      <c r="F21" s="5" t="inlineStr">
        <is>
          <t>GET /v1/support/interactions → 200
GET /v1/support/interactions → 200
POST /v1/resolution/contexts → 201</t>
        </is>
      </c>
      <c r="G21" s="5">
        <f>IF(F21="",0,LEN(F21)-LEN(SUBSTITUTE(F21,CHAR(10),""))+1)</f>
        <v/>
      </c>
      <c r="H21" s="5" t="inlineStr"/>
    </row>
    <row r="22">
      <c r="A22" s="5" t="inlineStr">
        <is>
          <t>RES-21</t>
        </is>
      </c>
      <c r="B22" s="5" t="inlineStr">
        <is>
          <t>Support refusals: no filter, a bad body, wrong scope, and a retry that records twice</t>
        </is>
      </c>
      <c r="C22" s="5" t="inlineStr">
        <is>
          <t>refusal</t>
        </is>
      </c>
      <c r="D22" s="5" t="inlineStr">
        <is>
          <t>APX-RES-06, APX-CORE-05</t>
        </is>
      </c>
      <c r="E22" s="5" t="inlineStr">
        <is>
          <t>Given four misbehaving clients. When one lists interactions with no subject filter, one posts agentType: bot, a token without apx.support:manage posts and then lists, and a console whose 201 was lost retries the identical POST under the same Idempotency-Key. Then 400 invalid-request twice (registered since F-RES-01), 403 twice, and the retry is a 200 replay of the ORIGINAL record, not a second 201 (was F-RES-08: the route now takes the optional Idempotency-Key). The same key with a different body is 409 idempotency-conflict.</t>
        </is>
      </c>
      <c r="F22" s="5" t="inlineStr">
        <is>
          <t>GET /v1/support/interactions → 400
POST /v1/support/interactions → 400
POST /v1/support/interactions → 403
GET /v1/support/interactions → 403
POST /v1/support/interactions → 200
POST /v1/support/interactions → 409</t>
        </is>
      </c>
      <c r="G22" s="5">
        <f>IF(F22="",0,LEN(F22)-LEN(SUBSTITUTE(F22,CHAR(10),""))+1)</f>
        <v/>
      </c>
      <c r="H22" s="5" t="inlineStr"/>
    </row>
    <row r="23">
      <c r="A23" s="5" t="inlineStr">
        <is>
          <t>RES-22</t>
        </is>
      </c>
      <c r="B23" s="5" t="inlineStr">
        <is>
          <t>One id from the intercom to the shift log: call → context → command → event → record</t>
        </is>
      </c>
      <c r="C23" s="5" t="inlineStr">
        <is>
          <t>happy</t>
        </is>
      </c>
      <c r="D23" s="5" t="inlineStr">
        <is>
          <t>APX-RES-01, APX-RES-03, APX-RES-04, APX-RES-05, APX-RES-06</t>
        </is>
      </c>
      <c r="E23" s="5" t="inlineStr">
        <is>
          <t>Given a supervisor asks "what happened on the 22:05 call at exit lane 2". When the platform minted ca…0022 at first contact and every hop carried it: the resolve request, the courtesy exit (approved), the command status event (as extensions["apds-ext:apx:correlation@1.0"]), and the interaction record naming the command in actions. Then each artefact carries the same id, and the one read that reconstructs the episode, GET /v1/support/interactions?correlationId=, now exists (was F-RES-05). The courtesyExit parameter name follows the F-CTL-05 proposal (holder).</t>
        </is>
      </c>
      <c r="F23" s="5" t="inlineStr">
        <is>
          <t>POST /v1/resolution/contexts → 201
POST /v1/commands → 202
POST /v1/support/interactions → 201
GET /v1/support/interactions → 200</t>
        </is>
      </c>
      <c r="G23" s="5">
        <f>IF(F23="",0,LEN(F23)-LEN(SUBSTITUTE(F23,CHAR(10),""))+1)</f>
        <v/>
      </c>
      <c r="H23" s="5" t="inlineStr"/>
    </row>
    <row r="24">
      <c r="A24" s="5" t="inlineStr">
        <is>
          <t>RES-23</t>
        </is>
      </c>
      <c r="B24" s="5" t="inlineStr">
        <is>
          <t>Two agents correct the same plate</t>
        </is>
      </c>
      <c r="C24" s="5" t="inlineStr">
        <is>
          <t>edge</t>
        </is>
      </c>
      <c r="D24" s="5" t="inlineStr">
        <is>
          <t>APX-RES-08</t>
        </is>
      </c>
      <c r="E24" s="5" t="inlineStr">
        <is>
          <t>Given the chat bot and a human agent both have session c4…0041 open. When the human writes RVR-8B21 at 14:20:02 and the bot, working from a candidates list fetched at 14:19, writes RVR-8821 at 14:20:05. Then each cites the Session version it read in If-Match; the human's write lands (version 3 → 4) and the bot's, still citing 3, is refused with 409 version-conflict, nothing written (Part 17 §17.5; was F-RES-06).</t>
        </is>
      </c>
      <c r="F24" s="5" t="inlineStr">
        <is>
          <t>PUT /v1/sessions/c4000000-0000-4000-8000-000000000041/plate → 200
PUT /v1/sessions/c4000000-0000-4000-8000-000000000041/plate → 409</t>
        </is>
      </c>
      <c r="G24" s="5">
        <f>IF(F24="",0,LEN(F24)-LEN(SUBSTITUTE(F24,CHAR(10),""))+1)</f>
        <v/>
      </c>
      <c r="H24" s="5" t="inlineStr"/>
    </row>
    <row r="25">
      <c r="A25" s="5" t="inlineStr">
        <is>
          <t>RES-24</t>
        </is>
      </c>
      <c r="B25" s="5" t="inlineStr">
        <is>
          <t>Throttled: every route in the module answers 429 with Retry-After</t>
        </is>
      </c>
      <c r="C25" s="5" t="inlineStr">
        <is>
          <t>edge</t>
        </is>
      </c>
      <c r="D25" s="5" t="inlineStr">
        <is>
          <t>APX-CORE-05</t>
        </is>
      </c>
      <c r="E25" s="5" t="inlineStr">
        <is>
          <t>Given a console that re-resolves on every keystroke. When it exceeds the per-credential read and write limits across the module. Then 429 rate-limited with Retry-After on each route. Every route, the assigned-right link included, now declares the shared 429 (was F-RES-09; the Spectral rule from F-CTL-08 keeps it that way).</t>
        </is>
      </c>
      <c r="F25" s="5" t="inlineStr">
        <is>
          <t>POST /v1/resolution/contexts → 429
GET /v1/resolution/contexts/e5000000-0000-4000-8000-000000000001 → 429
GET /v1/resolution/contexts/e5000000-0000-4000-8000-000000000001/allowed-actions → 429
GET /v1/lpr/candidates → 429
GET /v1/credentials/c3000000-0000-4000-8000-000000000001/passback → 429
POST /v1/support/interactions → 429
GET /v1/support/interactions → 429
POST /v1/payment-links → 429
PUT /v1/sessions/c4000000-0000-4000-8000-000000000041/plate → 429
PUT /v1/sessions/c4000000-0000-4000-8000-000000000032/assigned-right → 429</t>
        </is>
      </c>
      <c r="G25" s="5">
        <f>IF(F25="",0,LEN(F25)-LEN(SUBSTITUTE(F25,CHAR(10),""))+1)</f>
        <v/>
      </c>
      <c r="H25" s="5" t="inlineStr"/>
    </row>
    <row r="26">
      <c r="A26" s="5" t="inlineStr">
        <is>
          <t>RES-25</t>
        </is>
      </c>
      <c r="B26" s="5" t="inlineStr">
        <is>
          <t>Expired token: every route answers 401 unauthenticated</t>
        </is>
      </c>
      <c r="C26" s="5" t="inlineStr">
        <is>
          <t>edge</t>
        </is>
      </c>
      <c r="D26" s="5" t="inlineStr">
        <is>
          <t>APX-CORE-05, APX-CORE-06</t>
        </is>
      </c>
      <c r="E26" s="5" t="inlineStr">
        <is>
          <t>Given the call platform's token expired mid-shift. When it keeps calling. Then 401 unauthenticated on every route (registered in Part 12 since F-CTL-07).</t>
        </is>
      </c>
      <c r="F26" s="5" t="inlineStr">
        <is>
          <t>POST /v1/resolution/contexts → 401
GET /v1/resolution/contexts/e5000000-0000-4000-8000-000000000001 → 401
GET /v1/resolution/contexts/e5000000-0000-4000-8000-000000000001/allowed-actions → 401
GET /v1/lpr/candidates → 401
GET /v1/credentials/c3000000-0000-4000-8000-000000000001/passback → 401
POST /v1/support/interactions → 401
GET /v1/support/interactions → 401
POST /v1/payment-links → 401
PUT /v1/sessions/c4000000-0000-4000-8000-000000000041/plate → 401
PUT /v1/sessions/c4000000-0000-4000-8000-000000000032/assigned-right → 401</t>
        </is>
      </c>
      <c r="G26" s="5">
        <f>IF(F26="",0,LEN(F26)-LEN(SUBSTITUTE(F26,CHAR(10),""))+1)</f>
        <v/>
      </c>
      <c r="H26" s="5" t="inlineStr"/>
    </row>
    <row r="27">
      <c r="A27" s="5" t="inlineStr">
        <is>
          <t>RES-26</t>
        </is>
      </c>
      <c r="B27" s="5" t="inlineStr">
        <is>
          <t>Open the record when the call is answered, complete it at hang-up</t>
        </is>
      </c>
      <c r="C27" s="5" t="inlineStr">
        <is>
          <t>lifecycle</t>
        </is>
      </c>
      <c r="D27" s="5" t="inlineStr">
        <is>
          <t>APX-RES-06, APX-CORE-05</t>
        </is>
      </c>
      <c r="E27" s="5" t="inlineStr">
        <is>
          <t>Given a console that records the interaction the second the call is answered, so the correlation id exists from the start. When it posts the open record, reads it back, completes it with If-Match: "1", and a second console, still holding version 1, tries to complete it too. Then 201, 200, 200 at version 2 (the topic publishes again, version telling create from update), and 409 version-conflict. The routes refuse a bad body (400), an unknown id (404), the wrong scope (403), a dead token (401), and a burst (429). Closes F-RES-12.</t>
        </is>
      </c>
      <c r="F27" s="5" t="inlineStr">
        <is>
          <t>POST /v1/support/interactions → 201
GET /v1/support/interactions/e7000000-0000-4000-8000-000000000026 → 200
PUT /v1/support/interactions/e7000000-0000-4000-8000-000000000026 → 200
PUT /v1/support/interactions/e7000000-0000-4000-8000-000000000026 → 409
PUT /v1/support/interactions/e7000000-0000-4000-8000-000000000026 → 400
PUT /v1/support/interactions/e7000000-0000-4000-8000-0000000000ff → 404
GET /v1/support/interactions/e7000000-0000-4000-8000-0000000000ff → 404
GET /v1/support/interactions/e7000000-0000-4000-8000-000000000026 → 403
PUT /v1/support/interactions/e7000000-0000-4000-8000-000000000026 → 403
GET /v1/support/interactions/e7000000-0000-4000-8000-000000000026 → 401
PUT /v1/support/interactions/e7000000-0000-4000-8000-000000000026 → 401
GET /v1/support/interactions/e7000000-0000-4000-8000-000000000026 → 429
PUT /v1/support/interactions/e7000000-0000-4000-8000-000000000026 → 429</t>
        </is>
      </c>
      <c r="G27" s="5">
        <f>IF(F27="",0,LEN(F27)-LEN(SUBSTITUTE(F27,CHAR(10),""))+1)</f>
        <v/>
      </c>
      <c r="H27" s="5" t="inlineStr"/>
    </row>
    <row r="28">
      <c r="A28" s="5" t="inlineStr">
        <is>
          <t>RES-27</t>
        </is>
      </c>
      <c r="B28" s="5" t="inlineStr">
        <is>
          <t>Domain writes refused: a malformed body, and a plate on a settled session</t>
        </is>
      </c>
      <c r="C28" s="5" t="inlineStr">
        <is>
          <t>refusal</t>
        </is>
      </c>
      <c r="D28" s="5" t="inlineStr">
        <is>
          <t>APX-RES-08, APX-CORE-05</t>
        </is>
      </c>
      <c r="E28" s="5" t="inlineStr">
        <is>
          <t>Given a console whose form lost its fields, and an agent correcting the plate of session c4…0051, which ended at 21:02 and was billed by plate, where the operator's dispute window is 30 minutes. When the console PUTs a plate body with no plate and a link body with no assignedRight; the agent corrects the plate at 21:20 with a reason, then again at 22:10. Then 400 invalid-request twice; 200 inside the dispute window (an audited adjustment, reason given); and 422 session-not-open outside it (Part 17 §17.5; was F-LPR-10).</t>
        </is>
      </c>
      <c r="F28" s="5" t="inlineStr">
        <is>
          <t>PUT /v1/sessions/c4000000-0000-4000-8000-000000000041/plate → 400
PUT /v1/sessions/c4000000-0000-4000-8000-000000000032/assigned-right → 400
PUT /v1/sessions/c4000000-0000-4000-8000-000000000051/plate → 200
PUT /v1/sessions/c4000000-0000-4000-8000-000000000051/plate → 422</t>
        </is>
      </c>
      <c r="G28" s="5">
        <f>IF(F28="",0,LEN(F28)-LEN(SUBSTITUTE(F28,CHAR(10),""))+1)</f>
        <v/>
      </c>
      <c r="H28" s="5" t="inlineStr"/>
    </row>
    <row r="29">
      <c r="A29" s="5" t="inlineStr">
        <is>
          <t>RES-28</t>
        </is>
      </c>
      <c r="B29" s="5" t="inlineStr">
        <is>
          <t>The way out offered on a channel the place does not run</t>
        </is>
      </c>
      <c r="C29" s="5" t="inlineStr">
        <is>
          <t>refusal</t>
        </is>
      </c>
      <c r="D29" s="5" t="inlineStr">
        <is>
          <t>APX-ACC-04</t>
        </is>
      </c>
      <c r="E29" s="5" t="inlineStr">
        <is>
          <t>Given a declined card at the exit, and a resolution context that offers a payment link. When the agent asks for the link by fax, a channel Lakeside does not run. Then 422 request-unprocessable, with the supported channels in detail, so the agent can offer SMS instead.</t>
        </is>
      </c>
      <c r="F29" s="5" t="inlineStr">
        <is>
          <t>POST /v1/payment-links → 422</t>
        </is>
      </c>
      <c r="G29" s="5">
        <f>IF(F29="",0,LEN(F29)-LEN(SUBSTITUTE(F29,CHAR(10),""))+1)</f>
        <v/>
      </c>
      <c r="H29" s="5" t="inlineStr"/>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H2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4" customWidth="1" min="2" max="2"/>
    <col width="11" customWidth="1" min="3" max="3"/>
    <col width="26" customWidth="1" min="4" max="4"/>
    <col width="90" customWidth="1" min="5" max="5"/>
    <col width="52" customWidth="1" min="6" max="6"/>
    <col width="10" customWidth="1" min="7" max="7"/>
    <col width="14" customWidth="1" min="8" max="8"/>
  </cols>
  <sheetData>
    <row r="1">
      <c r="A1" s="3" t="inlineStr">
        <is>
          <t>ID</t>
        </is>
      </c>
      <c r="B1" s="3" t="inlineStr">
        <is>
          <t>Title</t>
        </is>
      </c>
      <c r="C1" s="3" t="inlineStr">
        <is>
          <t>Kind</t>
        </is>
      </c>
      <c r="D1" s="3" t="inlineStr">
        <is>
          <t>Annex A rows</t>
        </is>
      </c>
      <c r="E1" s="3" t="inlineStr">
        <is>
          <t>Scenario (Given / When / Then)</t>
        </is>
      </c>
      <c r="F1" s="3" t="inlineStr">
        <is>
          <t>Exchanges (request → status)</t>
        </is>
      </c>
      <c r="G1" s="3" t="inlineStr">
        <is>
          <t>Exchange count</t>
        </is>
      </c>
      <c r="H1" s="3" t="inlineStr">
        <is>
          <t>Open spec gap</t>
        </is>
      </c>
    </row>
    <row r="2">
      <c r="A2" s="5" t="inlineStr">
        <is>
          <t>TOL-01</t>
        </is>
      </c>
      <c r="B2" s="5" t="inlineStr">
        <is>
          <t>07:14, a transponder passes the gantry</t>
        </is>
      </c>
      <c r="C2" s="5" t="inlineStr">
        <is>
          <t>happy</t>
        </is>
      </c>
      <c r="D2" s="5" t="inlineStr">
        <is>
          <t>APX-TOL-01, APX-CORE-03</t>
        </is>
      </c>
      <c r="E2" s="5" t="inlineStr">
        <is>
          <t>Given gantry hc-01 ingested a transponder hit and a plate read as two Observations. When the gantry bridge posts a toll transaction that references both, the credential, and the flat 2-axle peak price, under a key derived from the gantry, the read time, and its sequence number. Then 201 with the transaction already priced (pricing is synchronous here), a two-entry audit trail, and apx.tolling.transaction.created.v1 published with the transaction as data.</t>
        </is>
      </c>
      <c r="F2" s="5" t="inlineStr">
        <is>
          <t>POST /v1/tolling/transactions → 201</t>
        </is>
      </c>
      <c r="G2" s="5">
        <f>IF(F2="",0,LEN(F2)-LEN(SUBSTITUTE(F2,CHAR(10),""))+1)</f>
        <v/>
      </c>
      <c r="H2" s="5" t="inlineStr"/>
    </row>
    <row r="3">
      <c r="A3" s="5" t="inlineStr">
        <is>
          <t>TOL-02</t>
        </is>
      </c>
      <c r="B3" s="5" t="inlineStr">
        <is>
          <t>The uplink flapped: the gantry re-sends the same read</t>
        </is>
      </c>
      <c r="C3" s="5" t="inlineStr">
        <is>
          <t>edge</t>
        </is>
      </c>
      <c r="D3" s="5" t="inlineStr">
        <is>
          <t>APX-TOL-01</t>
        </is>
      </c>
      <c r="E3" s="5" t="inlineStr">
        <is>
          <t>Given the 201 from TOL-01 never reached the gantry bridge, and the bridge re-sends everything it buffered once the uplink returns. When the identical body arrives under the identical key, a minute later. Then 200 with the transaction the key created, e9…0801, in its current representation (still version 2 here): not a new transaction, not a second charge (Part 4 §4.2a, §15.2; F-TOL-12 fixed).</t>
        </is>
      </c>
      <c r="F3" s="5" t="inlineStr">
        <is>
          <t>POST /v1/tolling/transactions → 200</t>
        </is>
      </c>
      <c r="G3" s="5">
        <f>IF(F3="",0,LEN(F3)-LEN(SUBSTITUTE(F3,CHAR(10),""))+1)</f>
        <v/>
      </c>
      <c r="H3" s="5" t="inlineStr"/>
    </row>
    <row r="4">
      <c r="A4" s="5" t="inlineStr">
        <is>
          <t>TOL-03</t>
        </is>
      </c>
      <c r="B4" s="5" t="inlineStr">
        <is>
          <t>Same key, different read</t>
        </is>
      </c>
      <c r="C4" s="5" t="inlineStr">
        <is>
          <t>refusal</t>
        </is>
      </c>
      <c r="D4" s="5" t="inlineStr">
        <is>
          <t>APX-TOL-01, APX-CORE-05</t>
        </is>
      </c>
      <c r="E4" s="5" t="inlineStr">
        <is>
          <t>Given a firmware bug in the gantry bridge reuses the sequence number after a reboot. When the 07:52 plate-only passage is posted under the 07:14 key. Then 409 idempotency-conflict; the second passage is not recorded and the bridge must re-key it.</t>
        </is>
      </c>
      <c r="F4" s="5" t="inlineStr">
        <is>
          <t>POST /v1/tolling/transactions → 409</t>
        </is>
      </c>
      <c r="G4" s="5">
        <f>IF(F4="",0,LEN(F4)-LEN(SUBSTITUTE(F4,CHAR(10),""))+1)</f>
        <v/>
      </c>
      <c r="H4" s="5" t="inlineStr"/>
    </row>
    <row r="5">
      <c r="A5" s="5" t="inlineStr">
        <is>
          <t>TOL-04</t>
        </is>
      </c>
      <c r="B5" s="5" t="inlineStr">
        <is>
          <t>Malformed ingests: no key, no toll point, throttled</t>
        </is>
      </c>
      <c r="C5" s="5" t="inlineStr">
        <is>
          <t>refusal</t>
        </is>
      </c>
      <c r="D5" s="5" t="inlineStr">
        <is>
          <t>APX-TOL-01, APX-CORE-05</t>
        </is>
      </c>
      <c r="E5" s="5" t="inlineStr">
        <is>
          <t>Given three misbehaving gantry bridges. When one posts without Idempotency-Key, one posts a body with no tollPoint, and one replays its whole 40-minute buffer in a burst. Then 400 idempotency-key-required, 400 invalid-request for the invalid transaction (F-TOL-05 fixed), and 429 with Retry-After so the buffer drains at a rate the server can take.</t>
        </is>
      </c>
      <c r="F5" s="5" t="inlineStr">
        <is>
          <t>POST /v1/tolling/transactions → 400
POST /v1/tolling/transactions → 400
POST /v1/tolling/transactions → 429</t>
        </is>
      </c>
      <c r="G5" s="5">
        <f>IF(F5="",0,LEN(F5)-LEN(SUBSTITUTE(F5,CHAR(10),""))+1)</f>
        <v/>
      </c>
      <c r="H5" s="5" t="inlineStr"/>
    </row>
    <row r="6">
      <c r="A6" s="5" t="inlineStr">
        <is>
          <t>TOL-05</t>
        </is>
      </c>
      <c r="B6" s="5" t="inlineStr">
        <is>
          <t>Settled against the account that night</t>
        </is>
      </c>
      <c r="C6" s="5" t="inlineStr">
        <is>
          <t>happy</t>
        </is>
      </c>
      <c r="D6" s="5" t="inlineStr">
        <is>
          <t>APX-TOL-01</t>
        </is>
      </c>
      <c r="E6" s="5" t="inlineStr">
        <is>
          <t>Given the nightly billing run charged the holder's account through the Part 13 payment surface and holds a PaymentRecord. When it attaches that reference to e9…0801. Then 200 with the transaction paid at version 3, the history naming the batch, and apx.tolling.transaction.status.v1 published. The toll record holds a reference; it never becomes a parallel ledger.</t>
        </is>
      </c>
      <c r="F6" s="5" t="inlineStr">
        <is>
          <t>POST /v1/tolling/transactions/e9000000-0000-4000-8000-000000000801/payment → 200</t>
        </is>
      </c>
      <c r="G6" s="5">
        <f>IF(F6="",0,LEN(F6)-LEN(SUBSTITUTE(F6,CHAR(10),""))+1)</f>
        <v/>
      </c>
      <c r="H6" s="5" t="inlineStr"/>
    </row>
    <row r="7">
      <c r="A7" s="5" t="inlineStr">
        <is>
          <t>TOL-06</t>
        </is>
      </c>
      <c r="B7" s="5" t="inlineStr">
        <is>
          <t>The billing batch re-runs: paying a paid transaction</t>
        </is>
      </c>
      <c r="C7" s="5" t="inlineStr">
        <is>
          <t>refusal</t>
        </is>
      </c>
      <c r="D7" s="5" t="inlineStr">
        <is>
          <t>APX-TOL-01, APX-TOL-03, APX-CORE-05</t>
        </is>
      </c>
      <c r="E7" s="5" t="inlineStr">
        <is>
          <t>Given the nightly batch crashed after e9…0801 was attached and its restart replays the whole file. When it re-sends the same attach with the same Idempotency-Key, then attaches a second, different PaymentRecord to the transaction already paid, then reuses a key with a different body, then attaches one to an id that never existed. Then 200 unchanged for the replay (§15.1; F-TOL-13 fixed), 409 toll-transition-illegal for the different payment (F-TOL-03 fixed), 409 idempotency-conflict for the reused key, and a declared 404.</t>
        </is>
      </c>
      <c r="F7" s="5" t="inlineStr">
        <is>
          <t>POST /v1/tolling/transactions/e9000000-0000-4000-8000-000000000801/payment → 200
POST /v1/tolling/transactions/e9000000-0000-4000-8000-000000000801/payment → 409
POST /v1/tolling/transactions/e9000000-0000-4000-8000-000000000801/payment → 409
POST /v1/tolling/transactions/e9000000-0000-4000-8000-0000000008ff/payment → 404</t>
        </is>
      </c>
      <c r="G7" s="5">
        <f>IF(F7="",0,LEN(F7)-LEN(SUBSTITUTE(F7,CHAR(10),""))+1)</f>
        <v/>
      </c>
      <c r="H7" s="5" t="inlineStr"/>
    </row>
    <row r="8">
      <c r="A8" s="5" t="inlineStr">
        <is>
          <t>TOL-07</t>
        </is>
      </c>
      <c r="B8" s="5" t="inlineStr">
        <is>
          <t>Pricing is asynchronous: created first, priced later</t>
        </is>
      </c>
      <c r="C8" s="5" t="inlineStr">
        <is>
          <t>lifecycle</t>
        </is>
      </c>
      <c r="D8" s="5" t="inlineStr">
        <is>
          <t>APX-TOL-01, APX-TOL-03</t>
        </is>
      </c>
      <c r="E8" s="5" t="inlineStr">
        <is>
          <t>Given an operator whose toll pricing depends on an axle-count classifier that runs a few seconds behind the gantry, outside the APX server. When the bridge posts the passage without pricing, the classifier prices it through POST …/{id}/price, and a retry of the classifier prices it again. Then 201 in created; 200 priced and a status event; 409 toll-transition-illegal for the second price (a later change goes through a dispute), and a read shows the price (§15.1; F-TOL-02 fixed).</t>
        </is>
      </c>
      <c r="F8" s="5" t="inlineStr">
        <is>
          <t>POST /v1/tolling/transactions → 201
POST /v1/tolling/transactions/e9000000-0000-4000-8000-000000000803/price → 200
POST /v1/tolling/transactions/e9000000-0000-4000-8000-000000000803/price → 409
GET /v1/tolling/transactions/e9000000-0000-4000-8000-000000000803 → 200</t>
        </is>
      </c>
      <c r="G8" s="5">
        <f>IF(F8="",0,LEN(F8)-LEN(SUBSTITUTE(F8,CHAR(10),""))+1)</f>
        <v/>
      </c>
      <c r="H8" s="5" t="inlineStr"/>
    </row>
    <row r="9">
      <c r="A9" s="5" t="inlineStr">
        <is>
          <t>TOL-08</t>
        </is>
      </c>
      <c r="B9" s="5" t="inlineStr">
        <is>
          <t>07:52, the passage that was not hers</t>
        </is>
      </c>
      <c r="C9" s="5" t="inlineStr">
        <is>
          <t>happy</t>
        </is>
      </c>
      <c r="D9" s="5" t="inlineStr">
        <is>
          <t>APX-TOL-02, APX-TOL-01</t>
        </is>
      </c>
      <c r="E9" s="5" t="inlineStr">
        <is>
          <t>Given a vehicle with no transponder passed at 07:52 and the gantry fell back to the plate, reading SYN-9930 at 0.71 confidence; the transaction was created, priced, and billed to the monthly holder of that plate. When she calls ten days later, three hundred miles from the crossing, and the agent opens a dispute naming her as disputedBy. Then 200 with the transaction disputed, the original reads still referenced, the payment still attached, and a status event. Disputes are operator-opened, on the holder's behalf here, and disputedBy names the party (§15.1; F-TOL-08 fixed — APX v1 defines no customer scope).</t>
        </is>
      </c>
      <c r="F9" s="5" t="inlineStr">
        <is>
          <t>POST /v1/tolling/transactions → 201
POST /v1/tolling/transactions/e9000000-0000-4000-8000-000000000802/disputes → 200</t>
        </is>
      </c>
      <c r="G9" s="5">
        <f>IF(F9="",0,LEN(F9)-LEN(SUBSTITUTE(F9,CHAR(10),""))+1)</f>
        <v/>
      </c>
      <c r="H9" s="5" t="inlineStr"/>
    </row>
    <row r="10">
      <c r="A10" s="5" t="inlineStr">
        <is>
          <t>TOL-09</t>
        </is>
      </c>
      <c r="B10" s="5" t="inlineStr">
        <is>
          <t>Image review agrees: refunded</t>
        </is>
      </c>
      <c r="C10" s="5" t="inlineStr">
        <is>
          <t>happy</t>
        </is>
      </c>
      <c r="D10" s="5" t="inlineStr">
        <is>
          <t>APX-TOL-02</t>
        </is>
      </c>
      <c r="E10" s="5" t="inlineStr">
        <is>
          <t>Given the back office compared the gantry image with the vehicle on the holder's account. When it resolves the dispute as refunded with a note. Then 200 with the transaction resolved, dispute.resolvedTime and dispute.resolution set, the history entry naming the reviewer, and the refund itself taken as a Part 13 refund against the original payment. refunded is one of the §15.1 base resolution codes (F-TOL-10 fixed; registry entry pending).</t>
        </is>
      </c>
      <c r="F10" s="5" t="inlineStr">
        <is>
          <t>POST /v1/tolling/transactions/e9000000-0000-4000-8000-000000000802/disputes/resolve → 200</t>
        </is>
      </c>
      <c r="G10" s="5">
        <f>IF(F10="",0,LEN(F10)-LEN(SUBSTITUTE(F10,CHAR(10),""))+1)</f>
        <v/>
      </c>
      <c r="H10" s="5" t="inlineStr"/>
    </row>
    <row r="11">
      <c r="A11" s="5" t="inlineStr">
        <is>
          <t>TOL-10</t>
        </is>
      </c>
      <c r="B11" s="5" t="inlineStr">
        <is>
          <t>A stale export tries to reopen the dispute</t>
        </is>
      </c>
      <c r="C11" s="5" t="inlineStr">
        <is>
          <t>refusal</t>
        </is>
      </c>
      <c r="D11" s="5" t="inlineStr">
        <is>
          <t>APX-TOL-02, APX-CORE-05</t>
        </is>
      </c>
      <c r="E11" s="5" t="inlineStr">
        <is>
          <t>Given the dispute on e9…0802 was resolved on 3 October. When a reconciliation job working from a month-old export posts a new dispute on the same transaction. Then 409 dispute-closed; the transaction stays resolved and the job is told to raise an adjustment instead. Resolved is resolved.</t>
        </is>
      </c>
      <c r="F11" s="5" t="inlineStr">
        <is>
          <t>POST /v1/tolling/transactions/e9000000-0000-4000-8000-000000000802/disputes → 409</t>
        </is>
      </c>
      <c r="G11" s="5">
        <f>IF(F11="",0,LEN(F11)-LEN(SUBSTITUTE(F11,CHAR(10),""))+1)</f>
        <v/>
      </c>
      <c r="H11" s="5" t="inlineStr"/>
    </row>
    <row r="12">
      <c r="A12" s="5" t="inlineStr">
        <is>
          <t>TOL-11</t>
        </is>
      </c>
      <c r="B12" s="5" t="inlineStr">
        <is>
          <t>Resolving what is not open</t>
        </is>
      </c>
      <c r="C12" s="5" t="inlineStr">
        <is>
          <t>refusal</t>
        </is>
      </c>
      <c r="D12" s="5" t="inlineStr">
        <is>
          <t>APX-TOL-02, APX-CORE-05</t>
        </is>
      </c>
      <c r="E12" s="5" t="inlineStr">
        <is>
          <t>Given two operator mistakes. When the back office resolves e9…0802 a second time, and then resolves e9…0801, which was paid and never disputed, and finally resolves an id that does not exist. Then the first is 409 dispute-closed (a closed dispute); the second is 409 toll-transition-illegal, since resolve is allowed from disputed only (§15.1; F-TOL-03 fixed); the third is the declared 404 (F-TOL-06 fixed).</t>
        </is>
      </c>
      <c r="F12" s="5" t="inlineStr">
        <is>
          <t>POST /v1/tolling/transactions/e9000000-0000-4000-8000-000000000802/disputes/resolve → 409
POST /v1/tolling/transactions/e9000000-0000-4000-8000-000000000801/disputes/resolve → 409
POST /v1/tolling/transactions/e9000000-0000-4000-8000-0000000008ff/disputes/resolve → 404</t>
        </is>
      </c>
      <c r="G12" s="5">
        <f>IF(F12="",0,LEN(F12)-LEN(SUBSTITUTE(F12,CHAR(10),""))+1)</f>
        <v/>
      </c>
      <c r="H12" s="5" t="inlineStr"/>
    </row>
    <row r="13">
      <c r="A13" s="5" t="inlineStr">
        <is>
          <t>TOL-12</t>
        </is>
      </c>
      <c r="B13" s="5" t="inlineStr">
        <is>
          <t>Two agents dispute the same charge, and one disputes a ghost</t>
        </is>
      </c>
      <c r="C13" s="5" t="inlineStr">
        <is>
          <t>refusal</t>
        </is>
      </c>
      <c r="D13" s="5" t="inlineStr">
        <is>
          <t>APX-TOL-02, APX-CORE-05</t>
        </is>
      </c>
      <c r="E13" s="5" t="inlineStr">
        <is>
          <t>Given the holder called twice and reached two agents. When the second agent opens a dispute on e9…0802 while the first one is still open (before TOL-09), and a third agent mistypes the id. Then the second dispute is 409 toll-transition-illegal — a dispute opens from priced or paid only (§15.1; F-TOL-03 fixed) — and the mistyped id is the declared 404 (F-TOL-06 fixed).</t>
        </is>
      </c>
      <c r="F13" s="5" t="inlineStr">
        <is>
          <t>POST /v1/tolling/transactions/e9000000-0000-4000-8000-000000000802/disputes → 409
POST /v1/tolling/transactions/e9000000-0000-4000-8000-0000000008ff/disputes → 404</t>
        </is>
      </c>
      <c r="G13" s="5">
        <f>IF(F13="",0,LEN(F13)-LEN(SUBSTITUTE(F13,CHAR(10),""))+1)</f>
        <v/>
      </c>
      <c r="H13" s="5" t="inlineStr"/>
    </row>
    <row r="14">
      <c r="A14" s="5" t="inlineStr">
        <is>
          <t>TOL-13</t>
        </is>
      </c>
      <c r="B14" s="5" t="inlineStr">
        <is>
          <t>Upheld, and adjusted: the two other resolutions</t>
        </is>
      </c>
      <c r="C14" s="5" t="inlineStr">
        <is>
          <t>lifecycle</t>
        </is>
      </c>
      <c r="D14" s="5" t="inlineStr">
        <is>
          <t>APX-TOL-02, APX-TOL-03</t>
        </is>
      </c>
      <c r="E14" s="5" t="inlineStr">
        <is>
          <t>Given two more disputes. A driver disputes e9…0804 (paid) claiming the gantry double-read; the image shows one passage and the dispute is upheld, money stays where it is. A haulier disputes e9…0805 (priced, unpaid) because the classifier counted a lifted axle; the back office resolves adjusted with adjustedPricing at the 2-axle price. When each is resolved and the haulier's account then pays. Then both end resolved; the adjusted one carries the new price in pricing and the old one in dispute.originalPricing, and — being unpaid and adjusted — accepts the payment and moves to paid (§15.1; F-TOL-11 fixed).</t>
        </is>
      </c>
      <c r="F14" s="5" t="inlineStr">
        <is>
          <t>POST /v1/tolling/transactions/e9000000-0000-4000-8000-000000000804/disputes → 200
POST /v1/tolling/transactions/e9000000-0000-4000-8000-000000000804/disputes/resolve → 200
POST /v1/tolling/transactions/e9000000-0000-4000-8000-000000000805/disputes → 200
POST /v1/tolling/transactions/e9000000-0000-4000-8000-000000000805/disputes/resolve → 200
POST /v1/tolling/transactions/e9000000-0000-4000-8000-000000000805/payment → 200</t>
        </is>
      </c>
      <c r="G14" s="5">
        <f>IF(F14="",0,LEN(F14)-LEN(SUBSTITUTE(F14,CHAR(10),""))+1)</f>
        <v/>
      </c>
      <c r="H14" s="5" t="inlineStr"/>
    </row>
    <row r="15">
      <c r="A15" s="5" t="inlineStr">
        <is>
          <t>TOL-14</t>
        </is>
      </c>
      <c r="B15" s="5" t="inlineStr">
        <is>
          <t>Voided: terminal</t>
        </is>
      </c>
      <c r="C15" s="5" t="inlineStr">
        <is>
          <t>lifecycle</t>
        </is>
      </c>
      <c r="D15" s="5" t="inlineStr">
        <is>
          <t>APX-TOL-02, APX-TOL-01, APX-TOL-03</t>
        </is>
      </c>
      <c r="E15" s="5" t="inlineStr">
        <is>
          <t>Given gantry hc-01 produced a read during a maintenance test with the operator's own service truck, and the transaction e9…0806 must not be billed. When the back office voids it through POST …/{id}/void, then voids it again, then a clerk disputes it and the batch tries to pay it. Then 200 voided and a status event (F-TOL-01 fixed); the second void, the dispute, and the payment are all 409 toll-transition-illegal — a voided transaction never had a dispute, so dispute-closed does not apply (§15.1; F-TOL-09 fixed).</t>
        </is>
      </c>
      <c r="F15" s="5" t="inlineStr">
        <is>
          <t>POST /v1/tolling/transactions/e9000000-0000-4000-8000-000000000806/void → 200
POST /v1/tolling/transactions/e9000000-0000-4000-8000-000000000806/void → 409
POST /v1/tolling/transactions/e9000000-0000-4000-8000-000000000801/void → 409
GET /v1/tolling/transactions/e9000000-0000-4000-8000-000000000806 → 200
POST /v1/tolling/transactions/e9000000-0000-4000-8000-000000000806/disputes → 409
POST /v1/tolling/transactions/e9000000-0000-4000-8000-000000000806/payment → 409</t>
        </is>
      </c>
      <c r="G15" s="5">
        <f>IF(F15="",0,LEN(F15)-LEN(SUBSTITUTE(F15,CHAR(10),""))+1)</f>
        <v/>
      </c>
      <c r="H15" s="5" t="inlineStr"/>
    </row>
    <row r="16">
      <c r="A16" s="5" t="inlineStr">
        <is>
          <t>TOL-15</t>
        </is>
      </c>
      <c r="B16" s="5" t="inlineStr">
        <is>
          <t>The call center looks up a plate; the back office pages through disputes</t>
        </is>
      </c>
      <c r="C16" s="5" t="inlineStr">
        <is>
          <t>happy</t>
        </is>
      </c>
      <c r="D16" s="5" t="inlineStr">
        <is>
          <t>APX-TOL-01, APX-TOL-02</t>
        </is>
      </c>
      <c r="E16" s="5" t="inlineStr">
        <is>
          <t>Given the holder on the phone gives her plate. When the agent lists paid transactions for SYN-9930, and later the back office pages through everything in disputed. Then the APDS {meta, data} envelope with the plate's transactions, and page 2 of the dispute queue.</t>
        </is>
      </c>
      <c r="F16" s="5" t="inlineStr">
        <is>
          <t>GET /v1/tolling/transactions → 200
GET /v1/tolling/transactions → 200</t>
        </is>
      </c>
      <c r="G16" s="5">
        <f>IF(F16="",0,LEN(F16)-LEN(SUBSTITUTE(F16,CHAR(10),""))+1)</f>
        <v/>
      </c>
      <c r="H16" s="5" t="inlineStr"/>
    </row>
    <row r="17">
      <c r="A17" s="5" t="inlineStr">
        <is>
          <t>TOL-16</t>
        </is>
      </c>
      <c r="B17" s="5" t="inlineStr">
        <is>
          <t>"Everything at hc-01 between 07:00 and 08:00", and "everything for tag 44192"</t>
        </is>
      </c>
      <c r="C17" s="5" t="inlineStr">
        <is>
          <t>edge</t>
        </is>
      </c>
      <c r="D17" s="5" t="inlineStr">
        <is>
          <t>APX-TOL-01</t>
        </is>
      </c>
      <c r="E17" s="5" t="inlineStr">
        <is>
          <t>Given the gantry was flagged for recalibration and the back office wants every transaction it produced in the morning peak, and separately the fleet desk wants every charge against transponder TAG-44192. When they query by toll point and time window, by transponder, by place, and with a mistyped status. Then the declared tollPoint, since/until, credentialType/credentialIdentification, and place filters answer each question, and status=payed is 400 invalid-request rather than an empty list (§15.2; F-TOL-04 fixed — status keeps its free-string schema, since narrowing it would break existing clients, and the enum is enforced as a field rule).</t>
        </is>
      </c>
      <c r="F17" s="5" t="inlineStr">
        <is>
          <t>GET /v1/tolling/transactions → 200
GET /v1/tolling/transactions → 200</t>
        </is>
      </c>
      <c r="G17" s="5">
        <f>IF(F17="",0,LEN(F17)-LEN(SUBSTITUTE(F17,CHAR(10),""))+1)</f>
        <v/>
      </c>
      <c r="H17" s="5" t="inlineStr"/>
    </row>
    <row r="18">
      <c r="A18" s="5" t="inlineStr">
        <is>
          <t>TOL-17</t>
        </is>
      </c>
      <c r="B18" s="5" t="inlineStr">
        <is>
          <t>Read one transaction, with provenance; read one that is not there</t>
        </is>
      </c>
      <c r="C18" s="5" t="inlineStr">
        <is>
          <t>happy</t>
        </is>
      </c>
      <c r="D18" s="5" t="inlineStr">
        <is>
          <t>APX-TOL-01, APX-CORE-03</t>
        </is>
      </c>
      <c r="E18" s="5" t="inlineStr">
        <is>
          <t>Given an auditor with the transaction id from a customer letter. When they read e9…0802 and then a mistyped id. Then the full resource with recordInfo and the untruncated audit trail, and 404 target-not-found.</t>
        </is>
      </c>
      <c r="F18" s="5" t="inlineStr">
        <is>
          <t>GET /v1/tolling/transactions/e9000000-0000-4000-8000-000000000802 → 200
GET /v1/tolling/transactions/e9000000-0000-4000-8000-0000000008ff → 404</t>
        </is>
      </c>
      <c r="G18" s="5">
        <f>IF(F18="",0,LEN(F18)-LEN(SUBSTITUTE(F18,CHAR(10),""))+1)</f>
        <v/>
      </c>
      <c r="H18" s="5" t="inlineStr"/>
    </row>
    <row r="19">
      <c r="A19" s="5" t="inlineStr">
        <is>
          <t>TOL-18</t>
        </is>
      </c>
      <c r="B19" s="5" t="inlineStr">
        <is>
          <t>A BI token, a data token, and an LPR token try the toll routes</t>
        </is>
      </c>
      <c r="C19" s="5" t="inlineStr">
        <is>
          <t>security</t>
        </is>
      </c>
      <c r="D19" s="5" t="inlineStr">
        <is>
          <t>APX-CORE-07, APX-CORE-05</t>
        </is>
      </c>
      <c r="E19" s="5" t="inlineStr">
        <is>
          <t>Given three tokens that are not apx.tolling:manage: the warehouse's apx.data:read, the gantry's own apx.lpr:write, and the payment service's apx.payments:write. When the first lists transactions, the second posts one, and the third attaches a payment. Then 403 insufficient-scope each time: the module has one scope and every route requires it. Plate values leave the server only under a tolling, LPR, violations, or accounts scope (Part 9 §9.6), which is why the list is refused rather than minimized.</t>
        </is>
      </c>
      <c r="F19" s="5" t="inlineStr">
        <is>
          <t>GET /v1/tolling/transactions → 403
POST /v1/tolling/transactions → 403
POST /v1/tolling/transactions/e9000000-0000-4000-8000-000000000803/payment → 403</t>
        </is>
      </c>
      <c r="G19" s="5">
        <f>IF(F19="",0,LEN(F19)-LEN(SUBSTITUTE(F19,CHAR(10),""))+1)</f>
        <v/>
      </c>
      <c r="H19" s="5" t="inlineStr"/>
    </row>
    <row r="20">
      <c r="A20" s="5" t="inlineStr">
        <is>
          <t>TOL-19</t>
        </is>
      </c>
      <c r="B20" s="5" t="inlineStr">
        <is>
          <t>Harbor Deck's gantry, and a token with no places at all</t>
        </is>
      </c>
      <c r="C20" s="5" t="inlineStr">
        <is>
          <t>security</t>
        </is>
      </c>
      <c r="D20" s="5" t="inlineStr">
        <is>
          <t>APX-CORE-07, APX-CORE-08</t>
        </is>
      </c>
      <c r="E20" s="5" t="inlineStr">
        <is>
          <t>Given a misconfigured bridge at Harbor Deck's bridge gantry b4…0002 pointed at Lakeside's APX endpoint with Lakeside's credential (grant apx_places: ["b1…0001"]), and a second Lakeside token issued with no apx_places claim. When the bridge posts a passage, and the second token lists transactions. Then 403 insufficient-grant because the toll point is outside the grant, and an empty list because an absent claim means no places (fail-closed), not all places.</t>
        </is>
      </c>
      <c r="F20" s="5" t="inlineStr">
        <is>
          <t>POST /v1/tolling/transactions → 403
GET /v1/tolling/transactions → 200</t>
        </is>
      </c>
      <c r="G20" s="5">
        <f>IF(F20="",0,LEN(F20)-LEN(SUBSTITUTE(F20,CHAR(10),""))+1)</f>
        <v/>
      </c>
      <c r="H20" s="5" t="inlineStr"/>
    </row>
    <row r="21">
      <c r="A21" s="5" t="inlineStr">
        <is>
          <t>TOL-20</t>
        </is>
      </c>
      <c r="B21" s="5" t="inlineStr">
        <is>
          <t>Throttled, then the token dies</t>
        </is>
      </c>
      <c r="C21" s="5" t="inlineStr">
        <is>
          <t>edge</t>
        </is>
      </c>
      <c r="D21" s="5" t="inlineStr">
        <is>
          <t>APX-CORE-05, APX-CORE-06</t>
        </is>
      </c>
      <c r="E21" s="5" t="inlineStr">
        <is>
          <t>Given a back-office reconciliation job that lists and attaches payments in a tight loop, on a token that expires at midnight. When it exceeds the rate limit, and later keeps going on the expired token. Then 429 with Retry-After on the list and payment routes, and 401 on create, list, and payment, with problem type unauthenticated (F-TOL-07 fixed).</t>
        </is>
      </c>
      <c r="F21" s="5" t="inlineStr">
        <is>
          <t>GET /v1/tolling/transactions → 429
POST /v1/tolling/transactions/e9000000-0000-4000-8000-000000000803/payment → 429
POST /v1/tolling/transactions → 401
GET /v1/tolling/transactions → 401
POST /v1/tolling/transactions/e9000000-0000-4000-8000-000000000803/payment → 401</t>
        </is>
      </c>
      <c r="G21" s="5">
        <f>IF(F21="",0,LEN(F21)-LEN(SUBSTITUTE(F21,CHAR(10),""))+1)</f>
        <v/>
      </c>
      <c r="H21" s="5" t="inlineStr"/>
    </row>
    <row r="22">
      <c r="A22" s="5" t="inlineStr">
        <is>
          <t>TOL-21</t>
        </is>
      </c>
      <c r="B22" s="5" t="inlineStr">
        <is>
          <t>The gantry's own telemetry rides along in extensions</t>
        </is>
      </c>
      <c r="C22" s="5" t="inlineStr">
        <is>
          <t>edge</t>
        </is>
      </c>
      <c r="D22" s="5" t="inlineStr">
        <is>
          <t>APX-CORE-04, APX-TOL-01</t>
        </is>
      </c>
      <c r="E22" s="5" t="inlineStr">
        <is>
          <t>Given the gantry vendor records lane, speed, and axle count under its own extension key. When the bridge sends them on the create and the back office reads the transaction later. Then the key is preserved verbatim on the round-trip; the server neither validates nor strips what it does not understand.</t>
        </is>
      </c>
      <c r="F22" s="5" t="inlineStr">
        <is>
          <t>POST /v1/tolling/transactions → 201
GET /v1/tolling/transactions/e9000000-0000-4000-8000-000000000807 → 200</t>
        </is>
      </c>
      <c r="G22" s="5">
        <f>IF(F22="",0,LEN(F22)-LEN(SUBSTITUTE(F22,CHAR(10),""))+1)</f>
        <v/>
      </c>
      <c r="H22" s="5" t="inlineStr"/>
    </row>
    <row r="23">
      <c r="A23" s="5" t="inlineStr">
        <is>
          <t>TOL-22</t>
        </is>
      </c>
      <c r="B23" s="5" t="inlineStr">
        <is>
          <t>Same passage, fresh key: the duplicate the idempotency key cannot catch</t>
        </is>
      </c>
      <c r="C23" s="5" t="inlineStr">
        <is>
          <t>edge</t>
        </is>
      </c>
      <c r="D23" s="5" t="inlineStr">
        <is>
          <t>APX-TOL-01, APX-TOL-02</t>
        </is>
      </c>
      <c r="E23" s="5" t="inlineStr">
        <is>
          <t>Given the gantry rebooted mid-buffer and re-ingested the 18:55 passage of TAG-70220 as new Observations under a new sequence number. When the bridge posts it. Then 201: a second transaction e9…0809 for one crossing, because the key is new and the server has no rule for "same credential, same toll point, within N seconds". The operator catches it in reconciliation and disputes its own transaction as duplicateCharge before billing, disputedBy its own Organisation — an operator-initiated dispute, which §15.1 now allows (F-TOL-08 fixed). The cleaner outcome, a void before billing, is TOL-23 (F-TOL-01 fixed).</t>
        </is>
      </c>
      <c r="F23" s="5" t="inlineStr">
        <is>
          <t>POST /v1/tolling/transactions → 201
POST /v1/tolling/transactions/e9000000-0000-4000-8000-000000000809/disputes → 200</t>
        </is>
      </c>
      <c r="G23" s="5">
        <f>IF(F23="",0,LEN(F23)-LEN(SUBSTITUTE(F23,CHAR(10),""))+1)</f>
        <v/>
      </c>
      <c r="H23" s="5" t="inlineStr"/>
    </row>
    <row r="24">
      <c r="A24" s="5" t="inlineStr">
        <is>
          <t>TOL-23</t>
        </is>
      </c>
      <c r="B24" s="5" t="inlineStr">
        <is>
          <t>The reboot duplicate, voided before billing</t>
        </is>
      </c>
      <c r="C24" s="5" t="inlineStr">
        <is>
          <t>lifecycle</t>
        </is>
      </c>
      <c r="D24" s="5" t="inlineStr">
        <is>
          <t>APX-TOL-01, APX-TOL-03</t>
        </is>
      </c>
      <c r="E24" s="5" t="inlineStr">
        <is>
          <t>Given the same reboot produced a second duplicate, e9…0811, which reconciliation catches before it is disputed or billed. When the job voids it with reason duplicate, then looks for everything else the gantry produced during the reboot window at Lakeside, and mistypes a status. Then 200 voided (§15.1; F-TOL-01 fixed), the list answers by place and window, and status=payed is 400 invalid-request (F-TOL-04). A void body without reason is 400, a void on an unknown id is 404.</t>
        </is>
      </c>
      <c r="F24" s="5" t="inlineStr">
        <is>
          <t>POST /v1/tolling/transactions/e9000000-0000-4000-8000-000000000811/void → 200
GET /v1/tolling/transactions → 200
GET /v1/tolling/transactions → 400
POST /v1/tolling/transactions/e9000000-0000-4000-8000-000000000812/void → 400
POST /v1/tolling/transactions/e9000000-0000-4000-8000-0000000008ff/void → 404
POST /v1/tolling/transactions/e9000000-0000-4000-8000-0000000008ff/price → 404
POST /v1/tolling/transactions/e9000000-0000-4000-8000-000000000813/price → 400</t>
        </is>
      </c>
      <c r="G24" s="5">
        <f>IF(F24="",0,LEN(F24)-LEN(SUBSTITUTE(F24,CHAR(10),""))+1)</f>
        <v/>
      </c>
      <c r="H24" s="5" t="inlineStr"/>
    </row>
    <row r="25">
      <c r="A25" s="5" t="inlineStr">
        <is>
          <t>TOL-24</t>
        </is>
      </c>
      <c r="B25" s="5" t="inlineStr">
        <is>
          <t>The shared responses on the remaining toll routes</t>
        </is>
      </c>
      <c r="C25" s="5" t="inlineStr">
        <is>
          <t>edge</t>
        </is>
      </c>
      <c r="D25" s="5" t="inlineStr">
        <is>
          <t>APX-CORE-05, APX-CORE-06, APX-CORE-07</t>
        </is>
      </c>
      <c r="E25" s="5" t="inlineStr">
        <is>
          <t>Given the reconciliation job of TOL-20 (throttled, then on an expired token), a BI token with no apx.tolling:manage, and a buggy client. When each hits the routes earlier scenarios did not. Then the shared 401, 403, 429, and 400 responses every secured toll operation declares (Part 12 §12.3; F-TOL-06 fixed).</t>
        </is>
      </c>
      <c r="F25" s="5" t="inlineStr">
        <is>
          <t>GET /v1/tolling/transactions/e9000000-0000-4000-8000-000000000801 → 401
GET /v1/tolling/transactions/e9000000-0000-4000-8000-000000000801 → 403
GET /v1/tolling/transactions/e9000000-0000-4000-8000-000000000801 → 429
POST /v1/tolling/transactions/e9000000-0000-4000-8000-000000000803/payment → 400
POST /v1/tolling/transactions/e9000000-0000-4000-8000-000000000803/price → 401
POST /v1/tolling/transactions/e9000000-0000-4000-8000-000000000803/price → 403
POST /v1/tolling/transactions/e9000000-0000-4000-8000-000000000803/price → 429
POST /v1/tolling/transactions/e9000000-0000-4000-8000-000000000812/void → 401
POST /v1/tolling/transactions/e9000000-0000-4000-8000-000000000812/void → 403
POST /v1/tolling/transactions/e9000000-0000-4000-8000-000000000812/void → 429
POST /v1/tolling/transactions/e9000000-0000-4000-8000-000000000804/disputes → 400
POST /v1/tolling/transactions/e9000000-0000-4000-8000-000000000804/disputes → 401
POST /v1/tolling/transactions/e9000000-0000-4000-8000-000000000804/disputes → 403
POST /v1/tolling/transactions/e9000000-0000-4000-8000-000000000804/disputes → 429
POST /v1/tolling/transactions/e9000000-0000-4000-8000-000000000809/disputes/resolve → 400
POST /v1/tolling/transactions/e9000000-0000-4000-8000-000000000809/disputes/resolve → 400
POST /v1/tolling/transactions/e9000000-0000-4000-8000-000000000809/disputes/resolve → 401
POST /v1/tolling/transactions/e9000000-0000-4000-8000-000000000809/disputes/resolve → 403
POST /v1/tolling/transactions/e9000000-0000-4000-8000-000000000809/disputes/resolve → 429</t>
        </is>
      </c>
      <c r="G25" s="5">
        <f>IF(F25="",0,LEN(F25)-LEN(SUBSTITUTE(F25,CHAR(10),""))+1)</f>
        <v/>
      </c>
      <c r="H25" s="5" t="inlineStr"/>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H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4" customWidth="1" min="2" max="2"/>
    <col width="11" customWidth="1" min="3" max="3"/>
    <col width="26" customWidth="1" min="4" max="4"/>
    <col width="90" customWidth="1" min="5" max="5"/>
    <col width="52" customWidth="1" min="6" max="6"/>
    <col width="10" customWidth="1" min="7" max="7"/>
    <col width="14" customWidth="1" min="8" max="8"/>
  </cols>
  <sheetData>
    <row r="1">
      <c r="A1" s="3" t="inlineStr">
        <is>
          <t>ID</t>
        </is>
      </c>
      <c r="B1" s="3" t="inlineStr">
        <is>
          <t>Title</t>
        </is>
      </c>
      <c r="C1" s="3" t="inlineStr">
        <is>
          <t>Kind</t>
        </is>
      </c>
      <c r="D1" s="3" t="inlineStr">
        <is>
          <t>Annex A rows</t>
        </is>
      </c>
      <c r="E1" s="3" t="inlineStr">
        <is>
          <t>Scenario (Given / When / Then)</t>
        </is>
      </c>
      <c r="F1" s="3" t="inlineStr">
        <is>
          <t>Exchanges (request → status)</t>
        </is>
      </c>
      <c r="G1" s="3" t="inlineStr">
        <is>
          <t>Exchange count</t>
        </is>
      </c>
      <c r="H1" s="3" t="inlineStr">
        <is>
          <t>Open spec gap</t>
        </is>
      </c>
    </row>
    <row r="2">
      <c r="A2" s="5" t="inlineStr">
        <is>
          <t>VLT-01</t>
        </is>
      </c>
      <c r="B2" s="5" t="inlineStr">
        <is>
          <t>Drop-off with a scanned condition report; the stay is a Session</t>
        </is>
      </c>
      <c r="C2" s="5" t="inlineStr">
        <is>
          <t>happy</t>
        </is>
      </c>
      <c r="D2" s="5" t="inlineStr">
        <is>
          <t>APX-VLT-01, APX-VLT-02, APX-VLT-03, APX-VLT-07, APX-VLT-08</t>
        </is>
      </c>
      <c r="E2" s="5" t="inlineStr">
        <is>
          <t>Given a guest pulls up at the hotel valet stand and the attendant's scanning app photographs the car, records a scuff on the rear bumper, and the guest taps to acknowledge. When the app posts the drop-off with an idempotency key. Then 201 with the ticket in dropped, the APDS Session for the stay referenced (never restated), the contact handle masked, imagery as links, and apx.valet.ticket.status.v1 published with the ticket as data.</t>
        </is>
      </c>
      <c r="F2" s="5" t="inlineStr">
        <is>
          <t>POST /v1/valet/tickets → 201</t>
        </is>
      </c>
      <c r="G2" s="5">
        <f>IF(F2="",0,LEN(F2)-LEN(SUBSTITUTE(F2,CHAR(10),""))+1)</f>
        <v/>
      </c>
      <c r="H2" s="5" t="inlineStr"/>
    </row>
    <row r="3">
      <c r="A3" s="5" t="inlineStr">
        <is>
          <t>VLT-02</t>
        </is>
      </c>
      <c r="B3" s="5" t="inlineStr">
        <is>
          <t>The scanner retries after a dead spot: same key, same body; then a different body</t>
        </is>
      </c>
      <c r="C3" s="5" t="inlineStr">
        <is>
          <t>edge</t>
        </is>
      </c>
      <c r="D3" s="5" t="inlineStr">
        <is>
          <t>APX-VLT-01, APX-CORE-05</t>
        </is>
      </c>
      <c r="E3" s="5" t="inlineStr">
        <is>
          <t>Given the 201 from VLT-01 never reached the handheld in the P3 ramp. When it retries with the identical key and body. Then 200 with the ORIGINAL ticket, no second custody record. A second scanner reusing the same key for a different car is 409 idempotency-conflict.</t>
        </is>
      </c>
      <c r="F3" s="5" t="inlineStr">
        <is>
          <t>POST /v1/valet/tickets → 200
POST /v1/valet/tickets → 409</t>
        </is>
      </c>
      <c r="G3" s="5">
        <f>IF(F3="",0,LEN(F3)-LEN(SUBSTITUTE(F3,CHAR(10),""))+1)</f>
        <v/>
      </c>
      <c r="H3" s="5" t="inlineStr"/>
    </row>
    <row r="4">
      <c r="A4" s="5" t="inlineStr">
        <is>
          <t>VLT-03</t>
        </is>
      </c>
      <c r="B4" s="5" t="inlineStr">
        <is>
          <t>Broken drop-offs: no key, no drop-off time, a place nobody has</t>
        </is>
      </c>
      <c r="C4" s="5" t="inlineStr">
        <is>
          <t>refusal</t>
        </is>
      </c>
      <c r="D4" s="5" t="inlineStr">
        <is>
          <t>APX-VLT-01, APX-CORE-05</t>
        </is>
      </c>
      <c r="E4" s="5" t="inlineStr">
        <is>
          <t>Given three misconfigured handhelds. When one omits Idempotency-Key, one sends a ticket with no dropOff, and one names a valet stand that does not exist. Then 400 idempotency-key-required, 400 invalid-request with an errors[] pointer, and 422 reference-unknown (F-VLT-01 and F-VLT-02, fixed: both slugs are now registered and named in the operation's descriptions).</t>
        </is>
      </c>
      <c r="F4" s="5" t="inlineStr">
        <is>
          <t>POST /v1/valet/tickets → 400
POST /v1/valet/tickets → 400
POST /v1/valet/tickets → 422</t>
        </is>
      </c>
      <c r="G4" s="5">
        <f>IF(F4="",0,LEN(F4)-LEN(SUBSTITUTE(F4,CHAR(10),""))+1)</f>
        <v/>
      </c>
      <c r="H4" s="5" t="inlineStr"/>
    </row>
    <row r="5">
      <c r="A5" s="5" t="inlineStr">
        <is>
          <t>VLT-04</t>
        </is>
      </c>
      <c r="B5" s="5" t="inlineStr">
        <is>
          <t>Parked: a zone and a hook, then moved to a mapped space</t>
        </is>
      </c>
      <c r="C5" s="5" t="inlineStr">
        <is>
          <t>lifecycle</t>
        </is>
      </c>
      <c r="D5" s="5" t="inlineStr">
        <is>
          <t>APX-VLT-01</t>
        </is>
      </c>
      <c r="E5" s="5" t="inlineStr">
        <is>
          <t>Given the runner drives V-20419 down to P3. When they record the row and the key hook, and twenty minutes later move it into a mapped Space to free the row. Then the first park transitions dropped → parked, the second updates storage while parked (legal per §22.1 rule 1), and each appends a history entry. A third runner whose screen still shows version 2 sends If-Match: "2" and is refused 409 version-conflict instead of overwriting the move (F-VLT-09, fixed: §22.1 rule 6). A ticket id that does not exist is 404.</t>
        </is>
      </c>
      <c r="F5" s="5" t="inlineStr">
        <is>
          <t>POST /v1/valet/tickets/d8000000-0000-4000-8000-000000000419/park → 200
POST /v1/valet/tickets/d8000000-0000-4000-8000-000000000419/park → 200
POST /v1/valet/tickets/d8000000-0000-4000-8000-000000000419/park → 409
POST /v1/valet/tickets/d8000000-0000-4000-8000-0000000000ff/park → 404</t>
        </is>
      </c>
      <c r="G5" s="5">
        <f>IF(F5="",0,LEN(F5)-LEN(SUBSTITUTE(F5,CHAR(10),""))+1)</f>
        <v/>
      </c>
      <c r="H5" s="5" t="inlineStr"/>
    </row>
    <row r="6">
      <c r="A6" s="5" t="inlineStr">
        <is>
          <t>VLT-05</t>
        </is>
      </c>
      <c r="B6" s="5" t="inlineStr">
        <is>
          <t>"CAR" texted two minutes after drop-off: nobody knows where it is yet</t>
        </is>
      </c>
      <c r="C6" s="5" t="inlineStr">
        <is>
          <t>refusal</t>
        </is>
      </c>
      <c r="D6" s="5" t="inlineStr">
        <is>
          <t>APX-VLT-01, APX-VLT-06</t>
        </is>
      </c>
      <c r="E6" s="5" t="inlineStr">
        <is>
          <t>Given the guest of V-20423 changes plans in the lobby and texts CAR before the runner has parked it. When the SMS gateway calls retrieve on the guest's own token. Then 409 valet-vehicle-not-located, not valet-transition-illegal: the ticket is dropped, the car is somewhere on the ramp, and the gateway texts "give us a moment" rather than an ETA.</t>
        </is>
      </c>
      <c r="F6" s="5" t="inlineStr">
        <is>
          <t>POST /v1/valet/tickets/d8000000-0000-4000-8000-000000000423/retrieve → 409</t>
        </is>
      </c>
      <c r="G6" s="5">
        <f>IF(F6="",0,LEN(F6)-LEN(SUBSTITUTE(F6,CHAR(10),""))+1)</f>
        <v/>
      </c>
      <c r="H6" s="5" t="inlineStr"/>
    </row>
    <row r="7">
      <c r="A7" s="5" t="inlineStr">
        <is>
          <t>VLT-06</t>
        </is>
      </c>
      <c r="B7" s="5" t="inlineStr">
        <is>
          <t>"Bring my car" by text: an ETA, a minimized read, two events</t>
        </is>
      </c>
      <c r="C7" s="5" t="inlineStr">
        <is>
          <t>happy</t>
        </is>
      </c>
      <c r="D7" s="5" t="inlineStr">
        <is>
          <t>APX-VLT-04, APX-VLT-06, APX-VLT-08</t>
        </is>
      </c>
      <c r="E7" s="5" t="inlineStr">
        <is>
          <t>Given two hours later the guest of V-20419 replies CAR to the claim text. When the SMS gateway calls retrieve on the guest's apx.valet:request token. Then 200 with etaMinutes and promisedTime set, in the minimized projection of §22.5 (exactly the listed members: no storage, no key tag, no statusHistory, no requestedBy, no condition report — F-VLT-12, fixed), and the server publishes both apx.valet.retrieval.requested.v1 and apx.valet.ticket.status.v1. The guest texts CAR again a minute later; the repeat is 200 with the same ticket and nothing is republished (F-VLT-13, fixed: §22.3 rule 4).</t>
        </is>
      </c>
      <c r="F7" s="5" t="inlineStr">
        <is>
          <t>POST /v1/valet/tickets/d8000000-0000-4000-8000-000000000419/retrieve → 200
POST /v1/valet/tickets/d8000000-0000-4000-8000-000000000419/retrieve → 200
GET /v1/valet/tickets/d8000000-0000-4000-8000-000000000419 → 200</t>
        </is>
      </c>
      <c r="G7" s="5">
        <f>IF(F7="",0,LEN(F7)-LEN(SUBSTITUTE(F7,CHAR(10),""))+1)</f>
        <v/>
      </c>
      <c r="H7" s="5" t="inlineStr"/>
    </row>
    <row r="8">
      <c r="A8" s="5" t="inlineStr">
        <is>
          <t>VLT-07</t>
        </is>
      </c>
      <c r="B8" s="5" t="inlineStr">
        <is>
          <t>The other ways to ask: app, web, voice bot, kiosk, the stand, the call centre</t>
        </is>
      </c>
      <c r="C8" s="5" t="inlineStr">
        <is>
          <t>happy</t>
        </is>
      </c>
      <c r="D8" s="5" t="inlineStr">
        <is>
          <t>APX-VLT-04, APX-VLT-06</t>
        </is>
      </c>
      <c r="E8" s="5" t="inlineStr">
        <is>
          <t>Given six parked cars and six guests. When one taps the hotel PWA, one uses the web page from the claim link, one tells the voice bot, one uses the lobby kiosk, one walks up to the stand, and one calls the operator's call centre. Then the only difference on the wire is channel — and, for the bot and the call centre, an opaque interaction id. The first three use the customer scope; the last three use apx.valet:manage.</t>
        </is>
      </c>
      <c r="F8" s="5" t="inlineStr">
        <is>
          <t>POST /v1/valet/tickets/d8000000-0000-4000-8000-000000000424/retrieve → 200
POST /v1/valet/tickets/d8000000-0000-4000-8000-000000000425/retrieve → 200
POST /v1/valet/tickets/d8000000-0000-4000-8000-000000000426/retrieve → 200
POST /v1/valet/tickets/d8000000-0000-4000-8000-000000000427/retrieve → 200
POST /v1/valet/tickets/d8000000-0000-4000-8000-000000000428/retrieve → 200
POST /v1/valet/tickets/d8000000-0000-4000-8000-000000000429/retrieve → 200</t>
        </is>
      </c>
      <c r="G8" s="5">
        <f>IF(F8="",0,LEN(F8)-LEN(SUBSTITUTE(F8,CHAR(10),""))+1)</f>
        <v/>
      </c>
      <c r="H8" s="5" t="inlineStr"/>
    </row>
    <row r="9">
      <c r="A9" s="5" t="inlineStr">
        <is>
          <t>VLT-08</t>
        </is>
      </c>
      <c r="B9" s="5" t="inlineStr">
        <is>
          <t>A pickup booked for 07:30, and the runner board's horizon</t>
        </is>
      </c>
      <c r="C9" s="5" t="inlineStr">
        <is>
          <t>happy</t>
        </is>
      </c>
      <c r="D9" s="5" t="inlineStr">
        <is>
          <t>APX-VLT-02, APX-VLT-04</t>
        </is>
      </c>
      <c r="E9" s="5" t="inlineStr">
        <is>
          <t>Given hotel guest M. Adeyemi, on an account, with an AssignedRight as the claim ticket, books the car for 07:30 tomorrow from the PWA at 22:10. When the stand reads the queue with the default horizon, then with a twelve-hour one. Then the scheduled pickup is absent from the first read and present in the second, and the queue is ordered by promisedTime. etaMinutes is 559: whole minutes from 22:10:44 until the promised 07:30, counting down on every read (F-VLT-14, fixed: §22.3 rule 1). The queue for a place that does not exist is 404.</t>
        </is>
      </c>
      <c r="F9" s="5" t="inlineStr">
        <is>
          <t>POST /v1/valet/tickets/d8000000-0000-4000-8000-000000000420/retrieve → 200
GET /v1/valet/queue → 200
GET /v1/valet/queue → 200
GET /v1/valet/queue → 404</t>
        </is>
      </c>
      <c r="G9" s="5">
        <f>IF(F9="",0,LEN(F9)-LEN(SUBSTITUTE(F9,CHAR(10),""))+1)</f>
        <v/>
      </c>
      <c r="H9" s="5" t="inlineStr"/>
    </row>
    <row r="10">
      <c r="A10" s="5" t="inlineStr">
        <is>
          <t>VLT-09</t>
        </is>
      </c>
      <c r="B10" s="5" t="inlineStr">
        <is>
          <t>"Actually, another twenty minutes": cancel-retrieval, twice, then once too many</t>
        </is>
      </c>
      <c r="C10" s="5" t="inlineStr">
        <is>
          <t>lifecycle</t>
        </is>
      </c>
      <c r="D10" s="5" t="inlineStr">
        <is>
          <t>APX-VLT-01, APX-VLT-06</t>
        </is>
      </c>
      <c r="E10" s="5" t="inlineStr">
        <is>
          <t>Given the guest of V-20423 texts WAIT while the request is queued. When the gateway cancels the retrieval. Then the ticket returns to parked with the reason recorded. The runner had already picked it up the second time the guest asked; cancelling from retrieving is also legal and the car goes back. Cancelling when nothing is requested is 409 valet-transition-illegal.</t>
        </is>
      </c>
      <c r="F10" s="5" t="inlineStr">
        <is>
          <t>POST /v1/valet/tickets/d8000000-0000-4000-8000-000000000423/cancel-retrieval → 200
POST /v1/valet/tickets/d8000000-0000-4000-8000-000000000423/cancel-retrieval → 200
POST /v1/valet/tickets/d8000000-0000-4000-8000-000000000423/cancel-retrieval → 409</t>
        </is>
      </c>
      <c r="G10" s="5">
        <f>IF(F10="",0,LEN(F10)-LEN(SUBSTITUTE(F10,CHAR(10),""))+1)</f>
        <v/>
      </c>
      <c r="H10" s="5" t="inlineStr"/>
    </row>
    <row r="11">
      <c r="A11" s="5" t="inlineStr">
        <is>
          <t>VLT-10</t>
        </is>
      </c>
      <c r="B11" s="5" t="inlineStr">
        <is>
          <t>The runner picks it up, stages it at the front entrance</t>
        </is>
      </c>
      <c r="C11" s="5" t="inlineStr">
        <is>
          <t>lifecycle</t>
        </is>
      </c>
      <c r="D11" s="5" t="inlineStr">
        <is>
          <t>APX-VLT-01, APX-VLT-04, APX-VLT-08</t>
        </is>
      </c>
      <c r="E11" s="5" t="inlineStr">
        <is>
          <t>Given V-20419 is requested. When the runner's app records the pickup with POST …/pickup (F-VLT-05, fixed: §22.1 rule 2) and then stages the car at lane b2…0051. Then pickup answers 200 in retrieving with retrievingBy, the status event shows the same, stage answers 200 with stagingLane and stagedTime set and etaMinutes at 0, and the guest's contact channel is notified. A pickup on a car nobody asked for is 409; on an id nobody has, 404. A staged car the guest no longer wants is re-parked with park (F-VLT-06, fixed: §22.1 rule 1); cancel-retrieval on it is still 409.</t>
        </is>
      </c>
      <c r="F11" s="5" t="inlineStr">
        <is>
          <t>POST /v1/valet/tickets/d8000000-0000-4000-8000-000000000419/pickup → 200
POST /v1/valet/tickets/d8000000-0000-4000-8000-000000000423/pickup → 409
POST /v1/valet/tickets/d8000000-0000-4000-8000-0000000000ff/pickup → 404
POST /v1/valet/tickets/d8000000-0000-4000-8000-000000000419/stage → 200
POST /v1/valet/tickets/d8000000-0000-4000-8000-000000000429/cancel-retrieval → 409
POST /v1/valet/tickets/d8000000-0000-4000-8000-000000000429/park → 200</t>
        </is>
      </c>
      <c r="G11" s="5">
        <f>IF(F11="",0,LEN(F11)-LEN(SUBSTITUTE(F11,CHAR(10),""))+1)</f>
        <v/>
      </c>
      <c r="H11" s="5" t="inlineStr"/>
    </row>
    <row r="12">
      <c r="A12" s="5" t="inlineStr">
        <is>
          <t>VLT-11</t>
        </is>
      </c>
      <c r="B12" s="5" t="inlineStr">
        <is>
          <t>Verified by code, handed back, one mile on the clock; closed when the stay settles</t>
        </is>
      </c>
      <c r="C12" s="5" t="inlineStr">
        <is>
          <t>happy</t>
        </is>
      </c>
      <c r="D12" s="5" t="inlineStr">
        <is>
          <t>APX-VLT-02, APX-VLT-05, APX-VLT-08</t>
        </is>
      </c>
      <c r="E12" s="5" t="inlineStr">
        <is>
          <t>Given V-20419 is staged and the guest shows the claim code at the stand. When the attendant's app verifies the code and records the handback condition and mileage. Then 200 with the ticket in handedBack, verificationValue absent from the record, the handback report alongside the drop-off one, and handback.mileage one mile over dropOff.mileage. The Session is paid at the stand through the ordinary payment surface; closed follows server-side, announced by the status event.</t>
        </is>
      </c>
      <c r="F12" s="5" t="inlineStr">
        <is>
          <t>POST /v1/valet/tickets/d8000000-0000-4000-8000-000000000419/handback → 200</t>
        </is>
      </c>
      <c r="G12" s="5">
        <f>IF(F12="",0,LEN(F12)-LEN(SUBSTITUTE(F12,CHAR(10),""))+1)</f>
        <v/>
      </c>
      <c r="H12" s="5" t="inlineStr"/>
    </row>
    <row r="13">
      <c r="A13" s="5" t="inlineStr">
        <is>
          <t>VLT-12</t>
        </is>
      </c>
      <c r="B13" s="5" t="inlineStr">
        <is>
          <t>The wrong claimant: verification fails, and the audit keeps it</t>
        </is>
      </c>
      <c r="C13" s="5" t="inlineStr">
        <is>
          <t>refusal</t>
        </is>
      </c>
      <c r="D13" s="5" t="inlineStr">
        <is>
          <t>APX-VLT-05</t>
        </is>
      </c>
      <c r="E13" s="5" t="inlineStr">
        <is>
          <t>Given V-20429 is staged and someone presents a code that does not match. When the attendant's app submits the handback. Then 403 valet-verification-failed, the car stays staged, and the attempt — method, actor, time — is appended to statusHistory[] without the value presented. The guest then produces ID, and the second handback succeeds.</t>
        </is>
      </c>
      <c r="F13" s="5" t="inlineStr">
        <is>
          <t>POST /v1/valet/tickets/d8000000-0000-4000-8000-000000000429/handback → 403
GET /v1/valet/tickets/d8000000-0000-4000-8000-000000000429 → 200
POST /v1/valet/tickets/d8000000-0000-4000-8000-000000000429/handback → 200</t>
        </is>
      </c>
      <c r="G13" s="5">
        <f>IF(F13="",0,LEN(F13)-LEN(SUBSTITUTE(F13,CHAR(10),""))+1)</f>
        <v/>
      </c>
      <c r="H13" s="5" t="inlineStr"/>
    </row>
    <row r="14">
      <c r="A14" s="5" t="inlineStr">
        <is>
          <t>VLT-13</t>
        </is>
      </c>
      <c r="B14" s="5" t="inlineStr">
        <is>
          <t>Changed their mind at the stand: handback before the car moved</t>
        </is>
      </c>
      <c r="C14" s="5" t="inlineStr">
        <is>
          <t>lifecycle</t>
        </is>
      </c>
      <c r="D14" s="5" t="inlineStr">
        <is>
          <t>APX-VLT-01, APX-VLT-05</t>
        </is>
      </c>
      <c r="E14" s="5" t="inlineStr">
        <is>
          <t>Given a walk-in drops V-20421, then remembers the parking ticket for the self-park deck in their pocket. When the attendant hands the car straight back while it is still dropped. Then 200 with dropped → handedBack, verified by attendant recognition, the drop-off condition report intact. The Session closes at zero through the operator's flow.</t>
        </is>
      </c>
      <c r="F14" s="5" t="inlineStr">
        <is>
          <t>POST /v1/valet/tickets/d8000000-0000-4000-8000-000000000421/handback → 200</t>
        </is>
      </c>
      <c r="G14" s="5">
        <f>IF(F14="",0,LEN(F14)-LEN(SUBSTITUTE(F14,CHAR(10),""))+1)</f>
        <v/>
      </c>
      <c r="H14" s="5" t="inlineStr"/>
    </row>
    <row r="15">
      <c r="A15" s="5" t="inlineStr">
        <is>
          <t>VLT-14</t>
        </is>
      </c>
      <c r="B15" s="5" t="inlineStr">
        <is>
          <t>Everything the state machine refuses, and two ids nobody has</t>
        </is>
      </c>
      <c r="C15" s="5" t="inlineStr">
        <is>
          <t>refusal</t>
        </is>
      </c>
      <c r="D15" s="5" t="inlineStr">
        <is>
          <t>APX-VLT-01, APX-CORE-05</t>
        </is>
      </c>
      <c r="E15" s="5" t="inlineStr">
        <is>
          <t>Given apps with stale screens. When a runner parks a car that is already requested, a guest asks for a car that is already at the kerb, a runner stages a car nobody asked for, the stand hands back a car still in P3, a handheld hands back V-20419 again after it was handed back, and a runner parks a closed ticket. Then every one is 409 valet-transition-illegal and nothing changes. (Parking a *staged* car and texting CAR twice are no longer refusals: see VLT-10 and VLT-06.) A stale QR that decodes to an id the server has never seen is 404 on stage and handback alike.</t>
        </is>
      </c>
      <c r="F15" s="5" t="inlineStr">
        <is>
          <t>POST /v1/valet/tickets/d8000000-0000-4000-8000-000000000424/park → 409
POST /v1/valet/tickets/d8000000-0000-4000-8000-000000000427/retrieve → 409
POST /v1/valet/tickets/d8000000-0000-4000-8000-000000000423/stage → 409
POST /v1/valet/tickets/d8000000-0000-4000-8000-000000000423/handback → 409
POST /v1/valet/tickets/d8000000-0000-4000-8000-000000000419/handback → 409
POST /v1/valet/tickets/d8000000-0000-4000-8000-000000000419/park → 409
POST /v1/valet/tickets/d8000000-0000-4000-8000-0000000000ff/stage → 404
POST /v1/valet/tickets/d8000000-0000-4000-8000-0000000000ff/handback → 404</t>
        </is>
      </c>
      <c r="G15" s="5">
        <f>IF(F15="",0,LEN(F15)-LEN(SUBSTITUTE(F15,CHAR(10),""))+1)</f>
        <v/>
      </c>
      <c r="H15" s="5" t="inlineStr"/>
    </row>
    <row r="16">
      <c r="A16" s="5" t="inlineStr">
        <is>
          <t>VLT-15</t>
        </is>
      </c>
      <c r="B16" s="5" t="inlineStr">
        <is>
          <t>The claim link is not a master key: what the customer scope cannot do</t>
        </is>
      </c>
      <c r="C16" s="5" t="inlineStr">
        <is>
          <t>security</t>
        </is>
      </c>
      <c r="D16" s="5" t="inlineStr">
        <is>
          <t>APX-VLT-06, APX-CORE-07</t>
        </is>
      </c>
      <c r="E16" s="5" t="inlineStr">
        <is>
          <t>Given the guest's apx.valet:request token, bound to V-20419. When a tampered PWA build tries to list every ticket at the stand, park, pick up, stage, cancel, amend, and hand back its own car, and then read and retrieve somebody else's. Then the seven operator operations are 403 insufficient-scope, and the other guest's ticket is 404 — the token cannot even learn that it exists (F-VLT-08, fixed: §22.5 and Part 9 §9.3a make it 404 for a :request token, while an operator token outside its grant gets 403 insufficient-grant, VLT-16).</t>
        </is>
      </c>
      <c r="F16" s="5" t="inlineStr">
        <is>
          <t>GET /v1/valet/tickets → 403
POST /v1/valet/tickets/d8000000-0000-4000-8000-000000000419/park → 403
POST /v1/valet/tickets/d8000000-0000-4000-8000-000000000419/stage → 403
POST /v1/valet/tickets/d8000000-0000-4000-8000-000000000419/handback → 403
POST /v1/valet/tickets/d8000000-0000-4000-8000-000000000419/pickup → 403
POST /v1/valet/tickets/d8000000-0000-4000-8000-000000000419/cancel → 403
POST /v1/valet/tickets/d8000000-0000-4000-8000-000000000419/condition → 403
GET /v1/valet/tickets/d8000000-0000-4000-8000-000000000420 → 404
POST /v1/valet/tickets/d8000000-0000-4000-8000-000000000420/retrieve → 404
POST /v1/valet/tickets/d8000000-0000-4000-8000-000000000420/cancel-retrieval → 404</t>
        </is>
      </c>
      <c r="G16" s="5">
        <f>IF(F16="",0,LEN(F16)-LEN(SUBSTITUTE(F16,CHAR(10),""))+1)</f>
        <v/>
      </c>
      <c r="H16" s="5" t="inlineStr"/>
    </row>
    <row r="17">
      <c r="A17" s="5" t="inlineStr">
        <is>
          <t>VLT-16</t>
        </is>
      </c>
      <c r="B17" s="5" t="inlineStr">
        <is>
          <t>Harbor Deck's valet is not ours: out of grant everywhere</t>
        </is>
      </c>
      <c r="C17" s="5" t="inlineStr">
        <is>
          <t>security</t>
        </is>
      </c>
      <c r="D17" s="5" t="inlineStr">
        <is>
          <t>APX-CORE-07, APX-CORE-08</t>
        </is>
      </c>
      <c r="E17" s="5" t="inlineStr">
        <is>
          <t>Given the Lakeside operator token (apx_places = Lakeside Garage). When a misrouted integration drops a car at Harbor Deck's stand, reads Harbor Deck's queue and one of its tickets, and tries to retrieve and cancel on it. Then 403 insufficient-grant each time. A token with no apx_places claim at all fails closed the same way.</t>
        </is>
      </c>
      <c r="F17" s="5" t="inlineStr">
        <is>
          <t>POST /v1/valet/tickets → 403
GET /v1/valet/queue → 403
GET /v1/valet/tickets/d8000000-0000-4000-8000-000000000902 → 403
POST /v1/valet/tickets/d8000000-0000-4000-8000-000000000902/retrieve → 403
POST /v1/valet/tickets/d8000000-0000-4000-8000-000000000902/cancel-retrieval → 403
GET /v1/valet/queue → 403</t>
        </is>
      </c>
      <c r="G17" s="5">
        <f>IF(F17="",0,LEN(F17)-LEN(SUBSTITUTE(F17,CHAR(10),""))+1)</f>
        <v/>
      </c>
      <c r="H17" s="5" t="inlineStr"/>
    </row>
    <row r="18">
      <c r="A18" s="5" t="inlineStr">
        <is>
          <t>VLT-17</t>
        </is>
      </c>
      <c r="B18" s="5" t="inlineStr">
        <is>
          <t>2 am: the stand's token expired mid-shift</t>
        </is>
      </c>
      <c r="C18" s="5" t="inlineStr">
        <is>
          <t>security</t>
        </is>
      </c>
      <c r="D18" s="5" t="inlineStr">
        <is>
          <t>APX-CORE-06</t>
        </is>
      </c>
      <c r="E18" s="5" t="inlineStr">
        <is>
          <t>Given the overnight attendant's handheld, the runner board, and the SMS gateway all share a client credential whose token expired at 02:00 and whose refresh silently failed. When each next call goes out. Then every Valet operation answers 401 unauthenticated, whatever it was asked (F-VLT-03, fixed: the type is registered in Part 12). The new routes (pickup, cancel, condition) are exercised in VLT-24.</t>
        </is>
      </c>
      <c r="F18" s="5" t="inlineStr">
        <is>
          <t>POST /v1/valet/tickets → 401
GET /v1/valet/tickets → 401
GET /v1/valet/queue → 401
GET /v1/valet/tickets/d8000000-0000-4000-8000-000000000420 → 401
POST /v1/valet/tickets/d8000000-0000-4000-8000-000000000420/park → 401
POST /v1/valet/tickets/d8000000-0000-4000-8000-000000000420/retrieve → 401
POST /v1/valet/tickets/d8000000-0000-4000-8000-000000000420/cancel-retrieval → 401
POST /v1/valet/tickets/d8000000-0000-4000-8000-000000000420/stage → 401
POST /v1/valet/tickets/d8000000-0000-4000-8000-000000000420/handback → 401</t>
        </is>
      </c>
      <c r="G18" s="5">
        <f>IF(F18="",0,LEN(F18)-LEN(SUBSTITUTE(F18,CHAR(10),""))+1)</f>
        <v/>
      </c>
      <c r="H18" s="5" t="inlineStr"/>
    </row>
    <row r="19">
      <c r="A19" s="5" t="inlineStr">
        <is>
          <t>VLT-18</t>
        </is>
      </c>
      <c r="B19" s="5" t="inlineStr">
        <is>
          <t>Throttled: a board polling every 200 ms, a bot in a loop, a handheld in a retry storm</t>
        </is>
      </c>
      <c r="C19" s="5" t="inlineStr">
        <is>
          <t>edge</t>
        </is>
      </c>
      <c r="D19" s="5" t="inlineStr">
        <is>
          <t>APX-CORE-05</t>
        </is>
      </c>
      <c r="E19" s="5" t="inlineStr">
        <is>
          <t>Given a lobby display polling the queue five times a second, a voice bot that retries every call on any non-200, and a handheld with a stuck button. When the per-credential limit is exceeded. Then every Valet operation answers 429 rate-limited with Retry-After; nothing is executed; the responses carry no ticket.</t>
        </is>
      </c>
      <c r="F19" s="5" t="inlineStr">
        <is>
          <t>GET /v1/valet/queue → 429
GET /v1/valet/tickets → 429
GET /v1/valet/tickets/d8000000-0000-4000-8000-000000000426 → 429
POST /v1/valet/tickets/d8000000-0000-4000-8000-000000000426/retrieve → 429
POST /v1/valet/tickets/d8000000-0000-4000-8000-000000000426/cancel-retrieval → 429
POST /v1/valet/tickets → 429
POST /v1/valet/tickets/d8000000-0000-4000-8000-000000000427/park → 429
POST /v1/valet/tickets/d8000000-0000-4000-8000-000000000427/stage → 429
POST /v1/valet/tickets/d8000000-0000-4000-8000-000000000427/handback → 429</t>
        </is>
      </c>
      <c r="G19" s="5">
        <f>IF(F19="",0,LEN(F19)-LEN(SUBSTITUTE(F19,CHAR(10),""))+1)</f>
        <v/>
      </c>
      <c r="H19" s="5" t="inlineStr"/>
    </row>
    <row r="20">
      <c r="A20" s="5" t="inlineStr">
        <is>
          <t>VLT-19</t>
        </is>
      </c>
      <c r="B20" s="5" t="inlineStr">
        <is>
          <t>The scanner vendor's extension survives park and read</t>
        </is>
      </c>
      <c r="C20" s="5" t="inlineStr">
        <is>
          <t>edge</t>
        </is>
      </c>
      <c r="D20" s="5" t="inlineStr">
        <is>
          <t>APX-CORE-04, APX-VLT-01</t>
        </is>
      </c>
      <c r="E20" s="5" t="inlineStr">
        <is>
          <t>Given the scanning vendor stores its scan-session id and model version under apds-ext:lakeside:valet-scan@1.0. When the ticket is created with it, parked by a runner app that has never heard of it, and read back. Then the extension is on the 201, still on the 200 after park, byte-for-byte, and on the read.</t>
        </is>
      </c>
      <c r="F20" s="5" t="inlineStr">
        <is>
          <t>POST /v1/valet/tickets → 201
POST /v1/valet/tickets/d8000000-0000-4000-8000-000000000430/park → 200
GET /v1/valet/tickets/d8000000-0000-4000-8000-000000000430 → 200</t>
        </is>
      </c>
      <c r="G20" s="5">
        <f>IF(F20="",0,LEN(F20)-LEN(SUBSTITUTE(F20,CHAR(10),""))+1)</f>
        <v/>
      </c>
      <c r="H20" s="5" t="inlineStr"/>
    </row>
    <row r="21">
      <c r="A21" s="5" t="inlineStr">
        <is>
          <t>VLT-20</t>
        </is>
      </c>
      <c r="B21" s="5" t="inlineStr">
        <is>
          <t>A week later: "there's a scratch on my bumper"</t>
        </is>
      </c>
      <c r="C21" s="5" t="inlineStr">
        <is>
          <t>happy</t>
        </is>
      </c>
      <c r="D21" s="5" t="inlineStr">
        <is>
          <t>APX-VLT-02, APX-VLT-03, APX-VLT-07</t>
        </is>
      </c>
      <c r="E21" s="5" t="inlineStr">
        <is>
          <t>Given the guest of V-20419 calls on 1 October about a scratch on the rear bumper. When the agent lists the plate's tickets since the 17th and reads the closed one. Then the drop-off report shows the 6 cm scuff photographed at 18:30:02 and acknowledged by the customer, the handback report at 20:50 says unchanged with a photo, and the claim is answered from the record. The ticket still carries no money and no raw phone number; the Session does the first, the contact system the second.</t>
        </is>
      </c>
      <c r="F21" s="5" t="inlineStr">
        <is>
          <t>GET /v1/valet/tickets → 200
GET /v1/valet/tickets/d8000000-0000-4000-8000-000000000419 → 200
GET /v1/valet/tickets → 200
GET /v1/valet/tickets → 200</t>
        </is>
      </c>
      <c r="G21" s="5">
        <f>IF(F21="",0,LEN(F21)-LEN(SUBSTITUTE(F21,CHAR(10),""))+1)</f>
        <v/>
      </c>
      <c r="H21" s="5" t="inlineStr"/>
    </row>
    <row r="22">
      <c r="A22" s="5" t="inlineStr">
        <is>
          <t>VLT-21</t>
        </is>
      </c>
      <c r="B22" s="5" t="inlineStr">
        <is>
          <t>The second scuff found at P3: a dated correction, never an edit</t>
        </is>
      </c>
      <c r="C22" s="5" t="inlineStr">
        <is>
          <t>edge</t>
        </is>
      </c>
      <c r="D22" s="5" t="inlineStr">
        <is>
          <t>APX-VLT-03</t>
        </is>
      </c>
      <c r="E22" s="5" t="inlineStr">
        <is>
          <t>Given the runner parking V-20430 notices a door ding the scanner missed. When they add it with POST …/condition (F-VLT-07, fixed: §22.2 rule 3). Then the ding is appended to dropOff.conditionReport.damage[] with a server-set recordedTime and recordedBy, the photo joins imageLinks[], the original "No damage noted." and the customer's acknowledgement are untouched, and a statusHistory[] entry records the amendment without changing valetStatus. A correction on a closed ticket is 409; on an id nobody has, 404. A retry with the same Idempotency-Key returns the ticket and does not append twice.</t>
        </is>
      </c>
      <c r="F22" s="5" t="inlineStr">
        <is>
          <t>POST /v1/valet/tickets/d8000000-0000-4000-8000-000000000430/condition → 200
POST /v1/valet/tickets/d8000000-0000-4000-8000-000000000419/condition → 409
POST /v1/valet/tickets/d8000000-0000-4000-8000-0000000000ff/condition → 404</t>
        </is>
      </c>
      <c r="G22" s="5">
        <f>IF(F22="",0,LEN(F22)-LEN(SUBSTITUTE(F22,CHAR(10),""))+1)</f>
        <v/>
      </c>
      <c r="H22" s="5" t="inlineStr"/>
    </row>
    <row r="23">
      <c r="A23" s="5" t="inlineStr">
        <is>
          <t>VLT-22</t>
        </is>
      </c>
      <c r="B23" s="5" t="inlineStr">
        <is>
          <t>The car that never came in: cancel the drop-off</t>
        </is>
      </c>
      <c r="C23" s="5" t="inlineStr">
        <is>
          <t>lifecycle</t>
        </is>
      </c>
      <c r="D23" s="5" t="inlineStr">
        <is>
          <t>APX-VLT-01, APX-VLT-08</t>
        </is>
      </c>
      <c r="E23" s="5" t="inlineStr">
        <is>
          <t>Given a driver whose ticket V-20422 was created as the attendant started the walk-around, then drove off to the self-park deck before handing over the keys. When the attendant cancels the drop-off with POST …/cancel (F-VLT-04, fixed: §22.1 rule 3). Then 200 in cancelled, the status event is published, and the list read is consistent. Cancelling a car that is already parked is 409; cancelling an id nobody has is 404.</t>
        </is>
      </c>
      <c r="F23" s="5" t="inlineStr">
        <is>
          <t>POST /v1/valet/tickets/d8000000-0000-4000-8000-000000000422/cancel → 200
POST /v1/valet/tickets/d8000000-0000-4000-8000-000000000423/cancel → 409
POST /v1/valet/tickets/d8000000-0000-4000-8000-0000000000ff/cancel → 404
GET /v1/valet/tickets → 200</t>
        </is>
      </c>
      <c r="G23" s="5">
        <f>IF(F23="",0,LEN(F23)-LEN(SUBSTITUTE(F23,CHAR(10),""))+1)</f>
        <v/>
      </c>
      <c r="H23" s="5" t="inlineStr"/>
    </row>
    <row r="24">
      <c r="A24" s="5" t="inlineStr">
        <is>
          <t>VLT-23</t>
        </is>
      </c>
      <c r="B24" s="5" t="inlineStr">
        <is>
          <t>A raw phone number on the ticket</t>
        </is>
      </c>
      <c r="C24" s="5" t="inlineStr">
        <is>
          <t>refusal</t>
        </is>
      </c>
      <c r="D24" s="5" t="inlineStr">
        <is>
          <t>APX-VLT-07, APX-CORE-10</t>
        </is>
      </c>
      <c r="E24" s="5" t="inlineStr">
        <is>
          <t>Given a hotel PMS integration that puts the guest's mobile number straight into contactChannel.handle. When it posts a drop-off. Then §22.6 says the server MUST NOT carry it and SHOULD refuse: 422 personal-data-not-permitted, declared on the drop-off's 422 (F-VLT-10, fixed). The body is schema-valid; only the policy is broken, which is why the refusal is 422 rather than a 400.</t>
        </is>
      </c>
      <c r="F24" s="5" t="inlineStr">
        <is>
          <t>POST /v1/valet/tickets → 422</t>
        </is>
      </c>
      <c r="G24" s="5">
        <f>IF(F24="",0,LEN(F24)-LEN(SUBSTITUTE(F24,CHAR(10),""))+1)</f>
        <v/>
      </c>
      <c r="H24" s="5" t="inlineStr"/>
    </row>
    <row r="25">
      <c r="A25" s="5" t="inlineStr">
        <is>
          <t>VLT-24</t>
        </is>
      </c>
      <c r="B25" s="5" t="inlineStr">
        <is>
          <t>2 am again, on the new routes: expired token, throttled runner app</t>
        </is>
      </c>
      <c r="C25" s="5" t="inlineStr">
        <is>
          <t>security</t>
        </is>
      </c>
      <c r="D25" s="5" t="inlineStr">
        <is>
          <t>APX-CORE-06, APX-CORE-05</t>
        </is>
      </c>
      <c r="E25" s="5" t="inlineStr">
        <is>
          <t>Given the same expired overnight credential as VLT-17, and a runner app whose stuck button hammers the new routes. When it calls pickup, cancel, and condition. Then 401 unauthenticated on each with the expired token, and 429 rate-limited with Retry-After once the fresh token exceeds its write rate; nothing is written either way.</t>
        </is>
      </c>
      <c r="F25" s="5" t="inlineStr">
        <is>
          <t>POST /v1/valet/tickets/d8000000-0000-4000-8000-000000000431/pickup → 401
POST /v1/valet/tickets/d8000000-0000-4000-8000-000000000431/cancel → 401
POST /v1/valet/tickets/d8000000-0000-4000-8000-000000000431/condition → 401
POST /v1/valet/tickets/d8000000-0000-4000-8000-000000000431/pickup → 429
POST /v1/valet/tickets/d8000000-0000-4000-8000-000000000431/cancel → 429
POST /v1/valet/tickets/d8000000-0000-4000-8000-000000000431/condition → 429</t>
        </is>
      </c>
      <c r="G25" s="5">
        <f>IF(F25="",0,LEN(F25)-LEN(SUBSTITUTE(F25,CHAR(10),""))+1)</f>
        <v/>
      </c>
      <c r="H25" s="5" t="inlineStr"/>
    </row>
    <row r="26">
      <c r="A26" s="5" t="inlineStr">
        <is>
          <t>VLT-25</t>
        </is>
      </c>
      <c r="B26" s="5" t="inlineStr">
        <is>
          <t>Malformed transition bodies: every action route says which field</t>
        </is>
      </c>
      <c r="C26" s="5" t="inlineStr">
        <is>
          <t>refusal</t>
        </is>
      </c>
      <c r="D26" s="5" t="inlineStr">
        <is>
          <t>APX-VLT-01, APX-CORE-05</t>
        </is>
      </c>
      <c r="E26" s="5" t="inlineStr">
        <is>
          <t>Given a third-party runner app built against a draft of the API. When it sends each action route a body that fails its schema — a numeric zone, a channel nobody defined, a cancel with no reason, a stage with no lane, a handback with no verification method, a numeric runner id, a cancel with no reason, a damage entry with no area. Then 400 invalid-request on every one, with an errors[] pointer to the offending member (Part 12 §12.4); nothing changes on V-20431.</t>
        </is>
      </c>
      <c r="F26" s="5" t="inlineStr">
        <is>
          <t>POST /v1/valet/tickets/d8000000-0000-4000-8000-000000000431/park → 400
POST /v1/valet/tickets/d8000000-0000-4000-8000-000000000431/retrieve → 400
POST /v1/valet/tickets/d8000000-0000-4000-8000-000000000431/cancel-retrieval → 400
POST /v1/valet/tickets/d8000000-0000-4000-8000-000000000431/stage → 400
POST /v1/valet/tickets/d8000000-0000-4000-8000-000000000431/handback → 400
POST /v1/valet/tickets/d8000000-0000-4000-8000-000000000431/pickup → 400
POST /v1/valet/tickets/d8000000-0000-4000-8000-000000000431/cancel → 400
POST /v1/valet/tickets/d8000000-0000-4000-8000-000000000431/condition → 400</t>
        </is>
      </c>
      <c r="G26" s="5">
        <f>IF(F26="",0,LEN(F26)-LEN(SUBSTITUTE(F26,CHAR(10),""))+1)</f>
        <v/>
      </c>
      <c r="H26" s="5" t="inlineStr"/>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H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4" customWidth="1" min="2" max="2"/>
    <col width="11" customWidth="1" min="3" max="3"/>
    <col width="26" customWidth="1" min="4" max="4"/>
    <col width="90" customWidth="1" min="5" max="5"/>
    <col width="52" customWidth="1" min="6" max="6"/>
    <col width="10" customWidth="1" min="7" max="7"/>
    <col width="14" customWidth="1" min="8" max="8"/>
  </cols>
  <sheetData>
    <row r="1">
      <c r="A1" s="3" t="inlineStr">
        <is>
          <t>ID</t>
        </is>
      </c>
      <c r="B1" s="3" t="inlineStr">
        <is>
          <t>Title</t>
        </is>
      </c>
      <c r="C1" s="3" t="inlineStr">
        <is>
          <t>Kind</t>
        </is>
      </c>
      <c r="D1" s="3" t="inlineStr">
        <is>
          <t>Annex A rows</t>
        </is>
      </c>
      <c r="E1" s="3" t="inlineStr">
        <is>
          <t>Scenario (Given / When / Then)</t>
        </is>
      </c>
      <c r="F1" s="3" t="inlineStr">
        <is>
          <t>Exchanges (request → status)</t>
        </is>
      </c>
      <c r="G1" s="3" t="inlineStr">
        <is>
          <t>Exchange count</t>
        </is>
      </c>
      <c r="H1" s="3" t="inlineStr">
        <is>
          <t>Open spec gap</t>
        </is>
      </c>
    </row>
    <row r="2">
      <c r="A2" s="5" t="inlineStr">
        <is>
          <t>VAL-01</t>
        </is>
      </c>
      <c r="B2" s="5" t="inlineStr">
        <is>
          <t>Enrol two merchants; the cinema brings an extension</t>
        </is>
      </c>
      <c r="C2" s="5" t="inlineStr">
        <is>
          <t>happy</t>
        </is>
      </c>
      <c r="D2" s="5" t="inlineStr">
        <is>
          <t>APX-VAL-01, APX-VAL-08, APX-CORE-04</t>
        </is>
      </c>
      <c r="E2" s="5" t="inlineStr">
        <is>
          <t>Given the back office signs Harbor Bistro and Lakeside Cinema for Lakeside Garage on the first of the month. When it enrols each with an idempotency key — the cinema's contract carries a happy-hour clause the closed rule set cannot express, so it rides in extensions. Then both come back 201 in active with version: 1 and one history entry, apx.validations.program.status.v1 fires for each, and a later read of the cinema returns the extension key untouched.</t>
        </is>
      </c>
      <c r="F2" s="5" t="inlineStr">
        <is>
          <t>POST /v1/validations/programs → 201
POST /v1/validations/programs → 201
GET /v1/validations/programs/e5000000-0000-4000-8000-000000000002 → 200</t>
        </is>
      </c>
      <c r="G2" s="5">
        <f>IF(F2="",0,LEN(F2)-LEN(SUBSTITUTE(F2,CHAR(10),""))+1)</f>
        <v/>
      </c>
      <c r="H2" s="5" t="inlineStr"/>
    </row>
    <row r="3">
      <c r="A3" s="5" t="inlineStr">
        <is>
          <t>VAL-02</t>
        </is>
      </c>
      <c r="B3" s="5" t="inlineStr">
        <is>
          <t>The back office retries the enrolment, then reuses the key by mistake</t>
        </is>
      </c>
      <c r="C3" s="5" t="inlineStr">
        <is>
          <t>edge</t>
        </is>
      </c>
      <c r="D3" s="5" t="inlineStr">
        <is>
          <t>APX-VAL-01, APX-CORE-05</t>
        </is>
      </c>
      <c r="E3" s="5" t="inlineStr">
        <is>
          <t>Given the 201 for Harbor Bistro never reached the back-office client. When it retries with the identical key and body, then a copy-paste error sends the cinema's body under the bistro's key, and a third client forgets the header altogether. Then 200 with the program's current representation (Part 4 §4.2a; no second enrolment), 409 idempotency-conflict, and 400 idempotency-key-required.</t>
        </is>
      </c>
      <c r="F3" s="5" t="inlineStr">
        <is>
          <t>POST /v1/validations/programs → 200
POST /v1/validations/programs → 409
POST /v1/validations/programs → 400</t>
        </is>
      </c>
      <c r="G3" s="5">
        <f>IF(F3="",0,LEN(F3)-LEN(SUBSTITUTE(F3,CHAR(10),""))+1)</f>
        <v/>
      </c>
      <c r="H3" s="5" t="inlineStr"/>
    </row>
    <row r="4">
      <c r="A4" s="5" t="inlineStr">
        <is>
          <t>VAL-03</t>
        </is>
      </c>
      <c r="B4" s="5" t="inlineStr">
        <is>
          <t>Enrolment refused: a benefit that is two things, and a merchant nobody knows</t>
        </is>
      </c>
      <c r="C4" s="5" t="inlineStr">
        <is>
          <t>refusal</t>
        </is>
      </c>
      <c r="D4" s="5" t="inlineStr">
        <is>
          <t>APX-VAL-01</t>
        </is>
      </c>
      <c r="E4" s="5" t="inlineStr">
        <is>
          <t>Given a gym contract typed up in a hurry. When the back office sends a benefit with both amount and duration, and then one whose provider is an organisation the server has never heard of. Then 422 request-unprocessable and 422 reference-unknown, the two types the route's 422 description now names (F-VAL-02 fixed). The ValidationBenefit schema still accepts the two-headed benefit: adding a oneOf would narrow a request body clients already send, so the "exactly one" rule is stated in the schema description and §20.1 and enforced as the 422 instead.</t>
        </is>
      </c>
      <c r="F4" s="5" t="inlineStr">
        <is>
          <t>POST /v1/validations/programs → 422
POST /v1/validations/programs → 422</t>
        </is>
      </c>
      <c r="G4" s="5">
        <f>IF(F4="",0,LEN(F4)-LEN(SUBSTITUTE(F4,CHAR(10),""))+1)</f>
        <v/>
      </c>
      <c r="H4" s="5" t="inlineStr"/>
    </row>
    <row r="5">
      <c r="A5" s="5" t="inlineStr">
        <is>
          <t>VAL-04</t>
        </is>
      </c>
      <c r="B5" s="5" t="inlineStr">
        <is>
          <t>The provider list is the program list, and the agent's validation lands in the ledger</t>
        </is>
      </c>
      <c r="C5" s="5" t="inlineStr">
        <is>
          <t>happy</t>
        </is>
      </c>
      <c r="D5" s="5" t="inlineStr">
        <is>
          <t>APX-VAL-02, APX-VAL-04</t>
        </is>
      </c>
      <c r="E5" s="5" t="inlineStr">
        <is>
          <t>Given three active programs at Lakeside (the fitness program was enrolled correctly after VAL-03). When a call-center agent asks Part 6 for the place's providers and applies the cinema's validation to ticket T-1001 at exit lane 2 with applyValidation. Then the provider list is exactly the active programs, each row carrying program; the command is accepted; and the ledger holds a ValidationRedemption with channel: callCenter and command set, findable from the command's id with ?command= (F-VAL-09 fixed on the redemption side; the reverse link on Command waits on F-CTL-02). The fitness row's percentage still has no home in ValidationProvider.benefit, which the control class owns (F-VAL-10, open for the control group).</t>
        </is>
      </c>
      <c r="F5" s="5" t="inlineStr">
        <is>
          <t>GET /v1/validations/providers → 200
POST /v1/commands → 202
GET /v1/validations/redemptions → 200</t>
        </is>
      </c>
      <c r="G5" s="5">
        <f>IF(F5="",0,LEN(F5)-LEN(SUBSTITUTE(F5,CHAR(10),""))+1)</f>
        <v/>
      </c>
      <c r="H5" s="5" t="inlineStr"/>
    </row>
    <row r="6">
      <c r="A6" s="5" t="inlineStr">
        <is>
          <t>VAL-05</t>
        </is>
      </c>
      <c r="B6" s="5" t="inlineStr">
        <is>
          <t>Projector fault: suspend the cinema for two days, then resume</t>
        </is>
      </c>
      <c r="C6" s="5" t="inlineStr">
        <is>
          <t>lifecycle</t>
        </is>
      </c>
      <c r="D6" s="5" t="inlineStr">
        <is>
          <t>APX-VAL-01, APX-VAL-02, APX-VAL-08</t>
        </is>
      </c>
      <c r="E6" s="5" t="inlineStr">
        <is>
          <t>Given the cinema closes for a projector repair and does not want stamps honoured meanwhile. When the back office PUTs the program to suspended with version: 1, checks the Part 6 provider list, and two days later PUTs it back to active with version: 2. Then each PUT returns the next version with a new history entry, the extension rides along untouched, the provider list omits the cinema while suspended, and apx.validations.program.status.v1 fires on both transitions.</t>
        </is>
      </c>
      <c r="F6" s="5" t="inlineStr">
        <is>
          <t>PUT /v1/validations/programs/e5000000-0000-4000-8000-000000000002 → 200
GET /v1/validations/providers → 200
PUT /v1/validations/programs/e5000000-0000-4000-8000-000000000002 → 200</t>
        </is>
      </c>
      <c r="G6" s="5">
        <f>IF(F6="",0,LEN(F6)-LEN(SUBSTITUTE(F6,CHAR(10),""))+1)</f>
        <v/>
      </c>
      <c r="H6" s="5" t="inlineStr"/>
    </row>
    <row r="7">
      <c r="A7" s="5" t="inlineStr">
        <is>
          <t>VAL-06</t>
        </is>
      </c>
      <c r="B7" s="5" t="inlineStr">
        <is>
          <t>Two back-office users edit the bistro at once</t>
        </is>
      </c>
      <c r="C7" s="5" t="inlineStr">
        <is>
          <t>refusal</t>
        </is>
      </c>
      <c r="D7" s="5" t="inlineStr">
        <is>
          <t>APX-VAL-01, APX-CORE-03</t>
        </is>
      </c>
      <c r="E7" s="5" t="inlineStr">
        <is>
          <t>Given two users both read the bistro program at version: 1; the first raises maxPerDay and wins. When the second sends a PUT with If-Match: "1" (and the same version: 1 echoed in the body) to change the billing cycle, and then a script PUTs a body with no benefit. Then 409 version-conflict — nothing is written, and the loser re-reads before retrying — and 400 invalid-request. The route declares the shared IfMatch parameter and Part 4 §4.2a makes the readOnly body version the equivalent precondition, so both carriers are conformant (F-VAL-11 fixed; the PUT's 400 closes the F-VAL-12 part for this route).</t>
        </is>
      </c>
      <c r="F7" s="5" t="inlineStr">
        <is>
          <t>PUT /v1/validations/programs/e5000000-0000-4000-8000-000000000001 → 409
PUT /v1/validations/programs/e5000000-0000-4000-8000-000000000001 → 400</t>
        </is>
      </c>
      <c r="G7" s="5">
        <f>IF(F7="",0,LEN(F7)-LEN(SUBSTITUTE(F7,CHAR(10),""))+1)</f>
        <v/>
      </c>
      <c r="H7" s="5" t="inlineStr"/>
    </row>
    <row r="8">
      <c r="A8" s="5" t="inlineStr">
        <is>
          <t>VAL-07</t>
        </is>
      </c>
      <c r="B8" s="5" t="inlineStr">
        <is>
          <t>The gym leaves: ended is terminal</t>
        </is>
      </c>
      <c r="C8" s="5" t="inlineStr">
        <is>
          <t>lifecycle</t>
        </is>
      </c>
      <c r="D8" s="5" t="inlineStr">
        <is>
          <t>APX-VAL-01, APX-VAL-08</t>
        </is>
      </c>
      <c r="E8" s="5" t="inlineStr">
        <is>
          <t>Given Lakeside Fitness closes at the end of September. When the back office ends the program, and a month later someone tries to resume it, and the gym's app tries to issue digital codes against it. Then the end transition returns 200 in ended and publishes apx.validations.program.status.v1; the resume is 422 program-not-active; and the issuance is 422 program-not-active.</t>
        </is>
      </c>
      <c r="F8" s="5" t="inlineStr">
        <is>
          <t>PUT /v1/validations/programs/e5000000-0000-4000-8000-000000000004 → 200
PUT /v1/validations/programs/e5000000-0000-4000-8000-000000000004 → 422
POST /v1/validations/programs/e5000000-0000-4000-8000-000000000004/issuances → 422</t>
        </is>
      </c>
      <c r="G8" s="5">
        <f>IF(F8="",0,LEN(F8)-LEN(SUBSTITUTE(F8,CHAR(10),""))+1)</f>
        <v/>
      </c>
      <c r="H8" s="5" t="inlineStr"/>
    </row>
    <row r="9">
      <c r="A9" s="5" t="inlineStr">
        <is>
          <t>VAL-08</t>
        </is>
      </c>
      <c r="B9" s="5" t="inlineStr">
        <is>
          <t>The bistro prints a sheet of QR codes, and the print job retries</t>
        </is>
      </c>
      <c r="C9" s="5" t="inlineStr">
        <is>
          <t>happy</t>
        </is>
      </c>
      <c r="D9" s="5" t="inlineStr">
        <is>
          <t>APX-VAL-03</t>
        </is>
      </c>
      <c r="E9" s="5" t="inlineStr">
        <is>
          <t>Given Harbor Bistro's iPad on the merchant scope (apx.validations:redeem, apx_org = a2…0077). When it issues 50 QR codes, the print spooler retries with the same key, and the back office later lists the program's batches. Then 201 with codes[] (abridged here to three) and validTo defaulted from the one-day validityWindow; the replay is 200 with the batch's current representation and no codes; the list never shows codes. A reused key with a different quantity is 409, and a batch without a key is 400. The first two bodies are the public scenario 18 shape, which now validates: the create body is ValidationIssuanceRequest, where program is optional because the path names it (F-VAL-04 fixed). The later bodies repeat it, which is still allowed when it matches the path.</t>
        </is>
      </c>
      <c r="F9" s="5" t="inlineStr">
        <is>
          <t>POST /v1/validations/programs/e5000000-0000-4000-8000-000000000001/issuances → 201
POST /v1/validations/programs/e5000000-0000-4000-8000-000000000001/issuances → 200
POST /v1/validations/programs/e5000000-0000-4000-8000-000000000001/issuances → 409
POST /v1/validations/programs/e5000000-0000-4000-8000-000000000001/issuances → 400
GET /v1/validations/programs/e5000000-0000-4000-8000-000000000001/issuances → 200</t>
        </is>
      </c>
      <c r="G9" s="5">
        <f>IF(F9="",0,LEN(F9)-LEN(SUBSTITUTE(F9,CHAR(10),""))+1)</f>
        <v/>
      </c>
      <c r="H9" s="5" t="inlineStr"/>
    </row>
    <row r="10">
      <c r="A10" s="5" t="inlineStr">
        <is>
          <t>VAL-09</t>
        </is>
      </c>
      <c r="B10" s="5" t="inlineStr">
        <is>
          <t>A method the program never agreed to, and stamps for the cinema</t>
        </is>
      </c>
      <c r="C10" s="5" t="inlineStr">
        <is>
          <t>refusal</t>
        </is>
      </c>
      <c r="D10" s="5" t="inlineStr">
        <is>
          <t>APX-VAL-03</t>
        </is>
      </c>
      <c r="E10" s="5" t="inlineStr">
        <is>
          <t>Given the bistro's program allows qrCode only. When its iPad asks for a stamp batch. Then 422 request-unprocessable, which the route's 422 description now names for "method not in issuanceMethods" (F-VAL-03 fixed). The cinema, whose program does allow stamps, orders 500: 201 with no codes[], because stamps are physical stock counted for billing.</t>
        </is>
      </c>
      <c r="F10" s="5" t="inlineStr">
        <is>
          <t>POST /v1/validations/programs/e5000000-0000-4000-8000-000000000001/issuances → 422
POST /v1/validations/programs/e5000000-0000-4000-8000-000000000002/issuances → 201</t>
        </is>
      </c>
      <c r="G10" s="5">
        <f>IF(F10="",0,LEN(F10)-LEN(SUBSTITUTE(F10,CHAR(10),""))+1)</f>
        <v/>
      </c>
      <c r="H10" s="5" t="inlineStr"/>
    </row>
    <row r="11">
      <c r="A11" s="5" t="inlineStr">
        <is>
          <t>VAL-10</t>
        </is>
      </c>
      <c r="B11" s="5" t="inlineStr">
        <is>
          <t>A guest scans a code at the pay station</t>
        </is>
      </c>
      <c r="C11" s="5" t="inlineStr">
        <is>
          <t>happy</t>
        </is>
      </c>
      <c r="D11" s="5" t="inlineStr">
        <is>
          <t>APX-VAL-03, APX-VAL-04, APX-VAL-08</t>
        </is>
      </c>
      <c r="E11" s="5" t="inlineStr">
        <is>
          <t>Given ticket T-2210 owes $9.00 and the guest has a bistro QR code. When pay station 3 (operator token) checks the code, then redeems it with an idempotency key, then checks it again. Then the first check is 200 valid with the benefit to display; the redemption is 201 with validationId materialized on the APDS session and amountReduced at the actual $6.00 the two hours were worth; apx.validations.redeemed.v1 fires; and the second check shows redeemed pointing at the redemption.</t>
        </is>
      </c>
      <c r="F11" s="5" t="inlineStr">
        <is>
          <t>GET /v1/validations/instruments/HB-7Q2M-K9X4-3TPD → 200
POST /v1/validations/redemptions → 201
GET /v1/validations/instruments/HB-7Q2M-K9X4-3TPD → 200</t>
        </is>
      </c>
      <c r="G11" s="5">
        <f>IF(F11="",0,LEN(F11)-LEN(SUBSTITUTE(F11,CHAR(10),""))+1)</f>
        <v/>
      </c>
      <c r="H11" s="5" t="inlineStr"/>
    </row>
    <row r="12">
      <c r="A12" s="5" t="inlineStr">
        <is>
          <t>VAL-11</t>
        </is>
      </c>
      <c r="B12" s="5" t="inlineStr">
        <is>
          <t>The pay station's network hiccups mid-redemption</t>
        </is>
      </c>
      <c r="C12" s="5" t="inlineStr">
        <is>
          <t>edge</t>
        </is>
      </c>
      <c r="D12" s="5" t="inlineStr">
        <is>
          <t>APX-VAL-04, APX-CORE-05</t>
        </is>
      </c>
      <c r="E12" s="5" t="inlineStr">
        <is>
          <t>Given the 201 from VAL-10 was lost on the wire. When the pay station retries with the same key and body; then a firmware bug reuses that key for the next guest; then a third redemption arrives with no key. Then 200 with the redemption's current representation (the code is not consumed twice, the ticket not reduced twice), 409 idempotency-conflict, and 400 idempotency-key-required.</t>
        </is>
      </c>
      <c r="F12" s="5" t="inlineStr">
        <is>
          <t>POST /v1/validations/redemptions → 200
POST /v1/validations/redemptions → 409
POST /v1/validations/redemptions → 400</t>
        </is>
      </c>
      <c r="G12" s="5">
        <f>IF(F12="",0,LEN(F12)-LEN(SUBSTITUTE(F12,CHAR(10),""))+1)</f>
        <v/>
      </c>
      <c r="H12" s="5" t="inlineStr"/>
    </row>
    <row r="13">
      <c r="A13" s="5" t="inlineStr">
        <is>
          <t>VAL-12</t>
        </is>
      </c>
      <c r="B13" s="5" t="inlineStr">
        <is>
          <t>Codes that are not good: unknown, expired, used, void, and missing</t>
        </is>
      </c>
      <c r="C13" s="5" t="inlineStr">
        <is>
          <t>refusal</t>
        </is>
      </c>
      <c r="D13" s="5" t="inlineStr">
        <is>
          <t>APX-VAL-03, APX-VAL-04</t>
        </is>
      </c>
      <c r="E13" s="5" t="inlineStr">
        <is>
          <t>Given five guests at pay station 3 over one evening. When one presents a code that was never issued, one a code from last week's sheet, one the code already used on T-2210, one a code from a sheet the bistro reported stolen, and one a bistro validation with no code at all. Then the unknown code is 404 on lookup and 422 instrument-invalid on redemption; the others are 200 on lookup with their status, and 422 instrument-invalid on redemption. The stolen sheet was voided through POST …/issuances/{issuanceId}/void earlier that evening (VAL-25; F-VAL-05 fixed).</t>
        </is>
      </c>
      <c r="F13" s="5" t="inlineStr">
        <is>
          <t>GET /v1/validations/instruments/HB-ZZZZ-ZZZZ-ZZZZ → 404
POST /v1/validations/redemptions → 422
GET /v1/validations/instruments/HB-E1X9-P4RD-0OLD → 200
POST /v1/validations/redemptions → 422
POST /v1/validations/redemptions → 422
GET /v1/validations/instruments/HB-S7K2-QW4N-8HGV → 200
POST /v1/validations/redemptions → 422
POST /v1/validations/redemptions → 422</t>
        </is>
      </c>
      <c r="G13" s="5">
        <f>IF(F13="",0,LEN(F13)-LEN(SUBSTITUTE(F13,CHAR(10),""))+1)</f>
        <v/>
      </c>
      <c r="H13" s="5" t="inlineStr"/>
    </row>
    <row r="14">
      <c r="A14" s="5" t="inlineStr">
        <is>
          <t>VAL-13</t>
        </is>
      </c>
      <c r="B14" s="5" t="inlineStr">
        <is>
          <t>The closed rule set says no: per ticket, stacking, rate table, per day</t>
        </is>
      </c>
      <c r="C14" s="5" t="inlineStr">
        <is>
          <t>refusal</t>
        </is>
      </c>
      <c r="D14" s="5" t="inlineStr">
        <is>
          <t>APX-VAL-04</t>
        </is>
      </c>
      <c r="E14" s="5" t="inlineStr">
        <is>
          <t>Given the programs from VAL-01. When a second bistro code is tried on T-2210; the cinema's POS tries to add its validation to that same ticket; the cinema's POS validates a concert-night ticket priced from the event rate; and the bistro's 201st guest of a Saturday scans. Then each is 422 redemption-limit-exceeded with the rule named in detail: maxPerTicket, stackable, applicableRateTables, maxPerDay. Both programs here are non-stackable, so either reading refuses the cinema; §20.3 rule 3 now evaluates stackable both ways (the incoming program's flag, and every already-applied program's), so a stackable program arriving on a ticket that carries the bistro is refused too, and two servers agree (F-VAL-08 fixed).</t>
        </is>
      </c>
      <c r="F14" s="5" t="inlineStr">
        <is>
          <t>POST /v1/validations/redemptions → 422
POST /v1/validations/redemptions → 422
POST /v1/validations/redemptions → 422
POST /v1/validations/redemptions → 422</t>
        </is>
      </c>
      <c r="G14" s="5">
        <f>IF(F14="",0,LEN(F14)-LEN(SUBSTITUTE(F14,CHAR(10),""))+1)</f>
        <v/>
      </c>
      <c r="H14" s="5" t="inlineStr"/>
    </row>
    <row r="15">
      <c r="A15" s="5" t="inlineStr">
        <is>
          <t>VAL-14</t>
        </is>
      </c>
      <c r="B15" s="5" t="inlineStr">
        <is>
          <t>The cinema is dark, and a Harbor Deck voucher turns up at Lakeside</t>
        </is>
      </c>
      <c r="C15" s="5" t="inlineStr">
        <is>
          <t>refusal</t>
        </is>
      </c>
      <c r="D15" s="5" t="inlineStr">
        <is>
          <t>APX-VAL-04, APX-VAL-03</t>
        </is>
      </c>
      <c r="E15" s="5" t="inlineStr">
        <is>
          <t>Given the cinema is suspended (VAL-05) and a guest at Lakeside holds a voucher from Harbor Deck's hotel. When the cinema's POS records a redemption anyway, and pay station 3 looks up the hotel's code and then tries to redeem the hotel's program at Lakeside. Then 422 program-not-active for the suspended program; the hotel's code is 404 (outside the caller's grant — never 403, so nobody can probe for codes); and the redemption is 422 request-unprocessable with detail naming the program's place — §20.3 rule 1 now separates "wrong place" from "program suspended", so the pay station can tell them apart (F-VAL-13 fixed without a new slug).</t>
        </is>
      </c>
      <c r="F15" s="5" t="inlineStr">
        <is>
          <t>POST /v1/validations/redemptions → 422
GET /v1/validations/instruments/HD-4RT7-NM2Q-9XCB → 404
POST /v1/validations/redemptions → 422</t>
        </is>
      </c>
      <c r="G15" s="5">
        <f>IF(F15="",0,LEN(F15)-LEN(SUBSTITUTE(F15,CHAR(10),""))+1)</f>
        <v/>
      </c>
      <c r="H15" s="5" t="inlineStr"/>
    </row>
    <row r="16">
      <c r="A16" s="5" t="inlineStr">
        <is>
          <t>VAL-15</t>
        </is>
      </c>
      <c r="B16" s="5" t="inlineStr">
        <is>
          <t>The cinema validates from its POS and from the lane, and the back office reads the ledger</t>
        </is>
      </c>
      <c r="C16" s="5" t="inlineStr">
        <is>
          <t>happy</t>
        </is>
      </c>
      <c r="D16" s="5" t="inlineStr">
        <is>
          <t>APX-VAL-04</t>
        </is>
      </c>
      <c r="E16" s="5" t="inlineStr">
        <is>
          <t>Given the cinema is active again and its program allows api, so no code is needed. When its POS records a redemption for T-2211, the exit lane's reader accepts a stamped ticket T-2220, and the back office lists the cinema's API redemptions since the resume and reads one by id. Then both are 201 with durationComped: PT2H and the actual amountReduced; the list carries the filter results; the read returns the full resource with history.</t>
        </is>
      </c>
      <c r="F16" s="5" t="inlineStr">
        <is>
          <t>POST /v1/validations/redemptions → 201
POST /v1/validations/redemptions → 201
GET /v1/validations/redemptions → 200
GET /v1/validations/redemptions/e7000000-0000-4000-8000-000000000043 → 200</t>
        </is>
      </c>
      <c r="G16" s="5">
        <f>IF(F16="",0,LEN(F16)-LEN(SUBSTITUTE(F16,CHAR(10),""))+1)</f>
        <v/>
      </c>
      <c r="H16" s="5" t="inlineStr"/>
    </row>
    <row r="17">
      <c r="A17" s="5" t="inlineStr">
        <is>
          <t>VAL-16</t>
        </is>
      </c>
      <c r="B17" s="5" t="inlineStr">
        <is>
          <t>Wrong ticket at 2 am: reverse it, the code comes back, reverse it again</t>
        </is>
      </c>
      <c r="C17" s="5" t="inlineStr">
        <is>
          <t>lifecycle</t>
        </is>
      </c>
      <c r="D17" s="5" t="inlineStr">
        <is>
          <t>APX-VAL-05, APX-VAL-08</t>
        </is>
      </c>
      <c r="E17" s="5" t="inlineStr">
        <is>
          <t>Given at 02:00 the pay station applied bistro code HB-A1C8… to T-2213, the ticket of the car behind. When the night supervisor reverses it ten minutes later with reason wrongTicket, the guest rescans the code on the right ticket, and a second supervisor reverses the same redemption again. Then the reversal is 200 in reversed with the reversal block and a new history entry; the instrument reads valid again (still inside its window); apx.validations.redeemed.v1 fires with redemptionStatus: reversed; and the repeat is 409 redemption-reversed.</t>
        </is>
      </c>
      <c r="F17" s="5" t="inlineStr">
        <is>
          <t>POST /v1/validations/redemptions/e7000000-0000-4000-8000-000000000044/reverse → 200
GET /v1/validations/instruments/HB-A1C8-ZR5N-W6LJ → 200
POST /v1/validations/redemptions/e7000000-0000-4000-8000-000000000044/reverse → 409
POST /v1/validations/redemptions/e7000000-0000-4000-8000-000000000045/reverse → 400</t>
        </is>
      </c>
      <c r="G17" s="5">
        <f>IF(F17="",0,LEN(F17)-LEN(SUBSTITUTE(F17,CHAR(10),""))+1)</f>
        <v/>
      </c>
      <c r="H17" s="5" t="inlineStr"/>
    </row>
    <row r="18">
      <c r="A18" s="5" t="inlineStr">
        <is>
          <t>VAL-17</t>
        </is>
      </c>
      <c r="B18" s="5" t="inlineStr">
        <is>
          <t>Month end: preview September, close it, and read it back</t>
        </is>
      </c>
      <c r="C18" s="5" t="inlineStr">
        <is>
          <t>happy</t>
        </is>
      </c>
      <c r="D18" s="5" t="inlineStr">
        <is>
          <t>APX-VAL-07, APX-VAL-08</t>
        </is>
      </c>
      <c r="E18" s="5" t="inlineStr">
        <is>
          <t>Given it is the first of October. When the back office previews the bistro's September, closes it with an idempotency key, the accounting job retries the close, and then lists and reads the closed statement. Then the preview is 200 with statementStatus: preview and no id; the close is 201 closed with id, lines[], closedTime, closedBy; apx.validations.statement.closed.v1 fires without lines; the retry is 200 with the (immutable) statement; the list omits lines[]; the read carries them. 412 redemptions at $4.00 bill the bistro $1,648.00; the $2,418.00 actually comped is the operator's number.</t>
        </is>
      </c>
      <c r="F18" s="5" t="inlineStr">
        <is>
          <t>GET /v1/validations/programs/e5000000-0000-4000-8000-000000000001/statement → 200
POST /v1/validations/programs/e5000000-0000-4000-8000-000000000001/statements → 201
POST /v1/validations/programs/e5000000-0000-4000-8000-000000000001/statements → 200
GET /v1/validations/programs/e5000000-0000-4000-8000-000000000001/statements → 200
GET /v1/validations/statements/e8000000-0000-4000-8000-000000000009 → 200</t>
        </is>
      </c>
      <c r="G18" s="5">
        <f>IF(F18="",0,LEN(F18)-LEN(SUBSTITUTE(F18,CHAR(10),""))+1)</f>
        <v/>
      </c>
      <c r="H18" s="5" t="inlineStr"/>
    </row>
    <row r="19">
      <c r="A19" s="5" t="inlineStr">
        <is>
          <t>VAL-18</t>
        </is>
      </c>
      <c r="B19" s="5" t="inlineStr">
        <is>
          <t>Closing a period twice, sideways, and backwards</t>
        </is>
      </c>
      <c r="C19" s="5" t="inlineStr">
        <is>
          <t>refusal</t>
        </is>
      </c>
      <c r="D19" s="5" t="inlineStr">
        <is>
          <t>APX-VAL-07, APX-CORE-05</t>
        </is>
      </c>
      <c r="E19" s="5" t="inlineStr">
        <is>
          <t>Given September is closed (VAL-17). When a new accountant closes "the 15th to the 15th"; then reuses September's key for October; then sends a close with no key; then one whose periodEnd precedes its periodStart; then previews a backwards window. Then 409 statement-overlap, 409 idempotency-conflict, 400 idempotency-key-required, and 400 invalid-request twice — the close route names the type, and the preview now declares the 400 (F-VAL-12 fixed).</t>
        </is>
      </c>
      <c r="F19" s="5" t="inlineStr">
        <is>
          <t>POST /v1/validations/programs/e5000000-0000-4000-8000-000000000001/statements → 409
POST /v1/validations/programs/e5000000-0000-4000-8000-000000000001/statements → 409
POST /v1/validations/programs/e5000000-0000-4000-8000-000000000001/statements → 400
POST /v1/validations/programs/e5000000-0000-4000-8000-000000000001/statements → 400
GET /v1/validations/programs/e5000000-0000-4000-8000-000000000001/statement → 400</t>
        </is>
      </c>
      <c r="G19" s="5">
        <f>IF(F19="",0,LEN(F19)-LEN(SUBSTITUTE(F19,CHAR(10),""))+1)</f>
        <v/>
      </c>
      <c r="H19" s="5" t="inlineStr"/>
    </row>
    <row r="20">
      <c r="A20" s="5" t="inlineStr">
        <is>
          <t>VAL-19</t>
        </is>
      </c>
      <c r="B20" s="5" t="inlineStr">
        <is>
          <t>A September redemption is disputed after the invoice went out</t>
        </is>
      </c>
      <c r="C20" s="5" t="inlineStr">
        <is>
          <t>lifecycle</t>
        </is>
      </c>
      <c r="D20" s="5" t="inlineStr">
        <is>
          <t>APX-VAL-05, APX-VAL-07</t>
        </is>
      </c>
      <c r="E20" s="5" t="inlineStr">
        <is>
          <t>Given the bistro disputes the T-2210 redemption on 2 October, after September was closed. When a supervisor reverses it, and the back office previews October. Then the reversal is 200 reversed with reversal.closedStatement naming September's statement, which is not edited; the ticket's session closed long ago, so nothing is reopened; and October's preview carries a credit line (lineKind: credit, negative billable, originalStatement = September) netted into billableAmount. When October closes, the reversal's reversal.creditedOn names it. §20.4 and §20.6 now agree: one ledger, no separate credit operation, and statement-closed is no longer returned by reverse (F-VAL-06 fixed).</t>
        </is>
      </c>
      <c r="F20" s="5" t="inlineStr">
        <is>
          <t>POST /v1/validations/redemptions/e7000000-0000-4000-8000-000000000041/reverse → 200
GET /v1/validations/programs/e5000000-0000-4000-8000-000000000001/statement → 200</t>
        </is>
      </c>
      <c r="G20" s="5">
        <f>IF(F20="",0,LEN(F20)-LEN(SUBSTITUTE(F20,CHAR(10),""))+1)</f>
        <v/>
      </c>
      <c r="H20" s="5" t="inlineStr"/>
    </row>
    <row r="21">
      <c r="A21" s="5" t="inlineStr">
        <is>
          <t>VAL-20</t>
        </is>
      </c>
      <c r="B21" s="5" t="inlineStr">
        <is>
          <t>What the bistro's iPad can and cannot do</t>
        </is>
      </c>
      <c r="C21" s="5" t="inlineStr">
        <is>
          <t>security</t>
        </is>
      </c>
      <c r="D21" s="5" t="inlineStr">
        <is>
          <t>APX-VAL-06, APX-VAL-03, APX-CORE-07</t>
        </is>
      </c>
      <c r="E21" s="5" t="inlineStr">
        <is>
          <t>Given Harbor Bistro's token: apx.validations:redeem only, apx_org = a2…0077. When it lists programs at Lakeside and its own redemptions; then tries to enrol, update, reverse, and close; then reads the cinema's program, batches, a cinema redemption, the cinema's statements, issues cinema stock, redeems against the cinema, and looks up a cinema code. Then the lists show only the bistro; the four operator actions are 403 insufficient-scope; the cinema resources by id, and every …/programs/{id}/… sub-route on the cinema's program, are 404 target-not-found, exactly as for records that do not exist (Part 9 §9.3a rule 2, cited in §20.5: F-VAL-07 fixed); the redemption naming the cinema's program in its body is 422 reference-unknown; and the cinema code is 404, never 403.</t>
        </is>
      </c>
      <c r="F21" s="5" t="inlineStr">
        <is>
          <t>GET /v1/validations/programs → 200
GET /v1/validations/redemptions → 200
POST /v1/validations/programs → 403
PUT /v1/validations/programs/e5000000-0000-4000-8000-000000000001 → 403
POST /v1/validations/redemptions/e7000000-0000-4000-8000-000000000041/reverse → 403
POST /v1/validations/programs/e5000000-0000-4000-8000-000000000001/statements → 403
GET /v1/validations/programs/e5000000-0000-4000-8000-000000000002 → 404
GET /v1/validations/programs/e5000000-0000-4000-8000-000000000002/issuances → 404
POST /v1/validations/programs/e5000000-0000-4000-8000-000000000002/issuances → 404
GET /v1/validations/redemptions/e7000000-0000-4000-8000-000000000043 → 404
POST /v1/validations/redemptions → 422
GET /v1/validations/programs/e5000000-0000-4000-8000-000000000002/statement → 404
GET /v1/validations/programs/e5000000-0000-4000-8000-000000000002/statements → 404
GET /v1/validations/statements/e8000000-0000-4000-8000-000000000010 → 404
GET /v1/validations/instruments/LC-9F3K-TT8W-2QAZ → 404</t>
        </is>
      </c>
      <c r="G21" s="5">
        <f>IF(F21="",0,LEN(F21)-LEN(SUBSTITUTE(F21,CHAR(10),""))+1)</f>
        <v/>
      </c>
      <c r="H21" s="5" t="inlineStr"/>
    </row>
    <row r="22">
      <c r="A22" s="5" t="inlineStr">
        <is>
          <t>VAL-21</t>
        </is>
      </c>
      <c r="B22" s="5" t="inlineStr">
        <is>
          <t>A BI token, the other garage, and a token with no places</t>
        </is>
      </c>
      <c r="C22" s="5" t="inlineStr">
        <is>
          <t>security</t>
        </is>
      </c>
      <c r="D22" s="5" t="inlineStr">
        <is>
          <t>APX-CORE-07, APX-CORE-08, APX-VAL-06</t>
        </is>
      </c>
      <c r="E22" s="5" t="inlineStr">
        <is>
          <t>Given three more tokens. When a BI token with only apx.data:read lists programs, lists redemptions, and checks a code; the operator's manage token (Lakeside grant) enrols the hotel at Harbor Deck; and a manage token minted without an apx_places claim lists Lakeside's programs. Then three 403 insufficient-scope, one 403 insufficient-grant, and one 403 insufficient-grant because a token without the claim has no places (fail-closed). Then the same Lakeside token reads, stocks, redeems against, and bills Harbor Deck's hotel program by id: 403 insufficient-grant on each, because the place is outside the grant (Part 9 §9.3a rule 1) — the contrast with VAL-20, where a merchant's own-provider scope inside a granted place answers 404 (F-VAL-07).</t>
        </is>
      </c>
      <c r="F22" s="5" t="inlineStr">
        <is>
          <t>GET /v1/validations/programs → 403
GET /v1/validations/redemptions → 403
GET /v1/validations/instruments/HB-P0V3-E7HS-M2QY → 403
POST /v1/validations/programs → 403
GET /v1/validations/programs → 403
GET /v1/validations/programs/e5000000-0000-4000-8000-000000000003 → 403
GET /v1/validations/programs/e5000000-0000-4000-8000-000000000003/issuances → 403
POST /v1/validations/programs/e5000000-0000-4000-8000-000000000003/issuances → 403
POST /v1/validations/redemptions → 403
GET /v1/validations/redemptions/e7000000-0000-4000-8000-000000000090 → 403
GET /v1/validations/programs/e5000000-0000-4000-8000-000000000003/statement → 403
GET /v1/validations/programs/e5000000-0000-4000-8000-000000000003/statements → 403
GET /v1/validations/statements/e8000000-0000-4000-8000-000000000090 → 403</t>
        </is>
      </c>
      <c r="G22" s="5">
        <f>IF(F22="",0,LEN(F22)-LEN(SUBSTITUTE(F22,CHAR(10),""))+1)</f>
        <v/>
      </c>
      <c r="H22" s="5" t="inlineStr"/>
    </row>
    <row r="23">
      <c r="A23" s="5" t="inlineStr">
        <is>
          <t>VAL-22</t>
        </is>
      </c>
      <c r="B23" s="5" t="inlineStr">
        <is>
          <t>Ids that were never there</t>
        </is>
      </c>
      <c r="C23" s="5" t="inlineStr">
        <is>
          <t>edge</t>
        </is>
      </c>
      <c r="D23" s="5" t="inlineStr">
        <is>
          <t>APX-CORE-05</t>
        </is>
      </c>
      <c r="E23" s="5" t="inlineStr">
        <is>
          <t>Given a console that pastes ids from the wrong environment. When it reads, updates, issues to, lists batches for, previews, closes, and lists statements for program …00ff; reads and reverses redemption …00ff; and reads statement …00ff. Then every one is 404 target-not-found; nothing is created or changed.</t>
        </is>
      </c>
      <c r="F23" s="5" t="inlineStr">
        <is>
          <t>GET /v1/validations/programs/e5000000-0000-4000-8000-0000000000ff → 404
PUT /v1/validations/programs/e5000000-0000-4000-8000-0000000000ff → 404
POST /v1/validations/programs/e5000000-0000-4000-8000-0000000000ff/issuances → 404
GET /v1/validations/programs/e5000000-0000-4000-8000-0000000000ff/issuances → 404
GET /v1/validations/programs/e5000000-0000-4000-8000-0000000000ff/statement → 404
POST /v1/validations/programs/e5000000-0000-4000-8000-0000000000ff/statements → 404
GET /v1/validations/programs/e5000000-0000-4000-8000-0000000000ff/statements → 404
GET /v1/validations/redemptions/e7000000-0000-4000-8000-0000000000ff → 404
POST /v1/validations/redemptions/e7000000-0000-4000-8000-0000000000ff/reverse → 404
GET /v1/validations/statements/e8000000-0000-4000-8000-0000000000ff → 404</t>
        </is>
      </c>
      <c r="G23" s="5">
        <f>IF(F23="",0,LEN(F23)-LEN(SUBSTITUTE(F23,CHAR(10),""))+1)</f>
        <v/>
      </c>
      <c r="H23" s="5" t="inlineStr"/>
    </row>
    <row r="24">
      <c r="A24" s="5" t="inlineStr">
        <is>
          <t>VAL-23</t>
        </is>
      </c>
      <c r="B24" s="5" t="inlineStr">
        <is>
          <t>A reconciliation job hammers every route at once</t>
        </is>
      </c>
      <c r="C24" s="5" t="inlineStr">
        <is>
          <t>edge</t>
        </is>
      </c>
      <c r="D24" s="5" t="inlineStr">
        <is>
          <t>APX-CORE-05</t>
        </is>
      </c>
      <c r="E24" s="5" t="inlineStr">
        <is>
          <t>Given a new reconciliation job that fans out one request per resource with no back-off. When it crosses the per-credential read and write limits. Then every Validations operation answers 429 rate-limited with Retry-After: 2; nothing is written. One exchange per operation, so every declared 429 has an example.</t>
        </is>
      </c>
      <c r="F24" s="5" t="inlineStr">
        <is>
          <t>POST /v1/validations/programs → 429
GET /v1/validations/programs → 429
GET /v1/validations/programs/e5000000-0000-4000-8000-000000000001 → 429
PUT /v1/validations/programs/e5000000-0000-4000-8000-000000000001 → 429
POST /v1/validations/programs/e5000000-0000-4000-8000-000000000001/issuances → 429
GET /v1/validations/programs/e5000000-0000-4000-8000-000000000001/issuances → 429
GET /v1/validations/instruments/HB-P0V3-E7HS-M2QY → 429
POST /v1/validations/redemptions → 429
GET /v1/validations/redemptions → 429
GET /v1/validations/redemptions/e7000000-0000-4000-8000-000000000041 → 429
POST /v1/validations/redemptions/e7000000-0000-4000-8000-000000000041/reverse → 429
GET /v1/validations/programs/e5000000-0000-4000-8000-000000000001/statement → 429
POST /v1/validations/programs/e5000000-0000-4000-8000-000000000001/statements → 429
GET /v1/validations/programs/e5000000-0000-4000-8000-000000000001/statements → 429
GET /v1/validations/statements/e8000000-0000-4000-8000-000000000009 → 429</t>
        </is>
      </c>
      <c r="G24" s="5">
        <f>IF(F24="",0,LEN(F24)-LEN(SUBSTITUTE(F24,CHAR(10),""))+1)</f>
        <v/>
      </c>
      <c r="H24" s="5" t="inlineStr"/>
    </row>
    <row r="25">
      <c r="A25" s="5" t="inlineStr">
        <is>
          <t>VAL-24</t>
        </is>
      </c>
      <c r="B25" s="5" t="inlineStr">
        <is>
          <t>The job's token expires at midnight and nobody notices until morning</t>
        </is>
      </c>
      <c r="C25" s="5" t="inlineStr">
        <is>
          <t>security</t>
        </is>
      </c>
      <c r="D25" s="5" t="inlineStr">
        <is>
          <t>APX-CORE-06</t>
        </is>
      </c>
      <c r="E25" s="5" t="inlineStr">
        <is>
          <t>Given the same job, still running on a client-credentials token that expired at 00:00. When it touches every Validations operation. Then every one is 401 with the unauthenticated type Part 12 now registers (F-VAL-01 fixed, with F-CTL-07). The two void routes added for F-VAL-05 are exercised for 401 in VAL-25.</t>
        </is>
      </c>
      <c r="F25" s="5" t="inlineStr">
        <is>
          <t>POST /v1/validations/programs → 401
GET /v1/validations/programs → 401
GET /v1/validations/programs/e5000000-0000-4000-8000-000000000001 → 401
PUT /v1/validations/programs/e5000000-0000-4000-8000-000000000001 → 401
POST /v1/validations/programs/e5000000-0000-4000-8000-000000000001/issuances → 401
GET /v1/validations/programs/e5000000-0000-4000-8000-000000000001/issuances → 401
GET /v1/validations/instruments/HB-P0V3-E7HS-M2QY → 401
POST /v1/validations/redemptions → 401
GET /v1/validations/redemptions → 401
GET /v1/validations/redemptions/e7000000-0000-4000-8000-000000000041 → 401
POST /v1/validations/redemptions/e7000000-0000-4000-8000-000000000041/reverse → 401
GET /v1/validations/programs/e5000000-0000-4000-8000-000000000001/statement → 401
POST /v1/validations/programs/e5000000-0000-4000-8000-000000000001/statements → 401
GET /v1/validations/programs/e5000000-0000-4000-8000-000000000001/statements → 401
GET /v1/validations/statements/e8000000-0000-4000-8000-000000000009 → 401</t>
        </is>
      </c>
      <c r="G25" s="5">
        <f>IF(F25="",0,LEN(F25)-LEN(SUBSTITUTE(F25,CHAR(10),""))+1)</f>
        <v/>
      </c>
      <c r="H25" s="5" t="inlineStr"/>
    </row>
    <row r="26">
      <c r="A26" s="5" t="inlineStr">
        <is>
          <t>VAL-25</t>
        </is>
      </c>
      <c r="B26" s="5" t="inlineStr">
        <is>
          <t>The stolen sheet: void a batch, then one leaked code</t>
        </is>
      </c>
      <c r="C26" s="5" t="inlineStr">
        <is>
          <t>lifecycle</t>
        </is>
      </c>
      <c r="D26" s="5" t="inlineStr">
        <is>
          <t>APX-VAL-03, APX-VAL-06</t>
        </is>
      </c>
      <c r="E26" s="5" t="inlineStr">
        <is>
          <t>Given at 19:30 on 12 September a server at Harbor Bistro reports the second sheet of the evening (e6…0005, 50 QR codes, two already redeemed) stolen from the host stand, and a photo of one code from sheet 3 (HB-L3AK-ED01-QR7Z) turns up on social media. When the bistro's iPad voids the batch, its retry voids it again, the back office voids the leaked code, tries to void the code already redeemed on T-2210 and one that was never issued, the iPad tries to void the cinema's stamp roll, two scripts send voids with no reason, a BI token tries both routes, and an expired token and a flooding job hit them. Then 200 void with voidDetail.voidedCount: 48 (the two redeemed codes stand); 200 unchanged; 200 on the single code; 422 instrument-invalid for the redeemed one; 404 for the unknown code and for another provider's batch (§20.5); 400 invalid-request twice; 403 insufficient-scope twice; 401 twice; 429 twice. VAL-12 then shows a code from the voided sheet refused at the pay station (F-VAL-05 fixed).</t>
        </is>
      </c>
      <c r="F26" s="5" t="inlineStr">
        <is>
          <t>POST /v1/validations/programs/e5000000-0000-4000-8000-000000000001/issuances/e6000000-0000-4000-8000-000000000005/void → 200
POST /v1/validations/programs/e5000000-0000-4000-8000-000000000001/issuances/e6000000-0000-4000-8000-000000000005/void → 200
POST /v1/validations/instruments/HB-L3AK-ED01-QR7Z/void → 200
POST /v1/validations/instruments/HB-7Q2M-K9X4-3TPD/void → 422
POST /v1/validations/instruments/HB-ZZZZ-ZZZZ-ZZZZ/void → 404
POST /v1/validations/programs/e5000000-0000-4000-8000-000000000002/issuances/e6000000-0000-4000-8000-000000000004/void → 404
POST /v1/validations/programs/e5000000-0000-4000-8000-000000000001/issuances/e6000000-0000-4000-8000-000000000003/void → 400
POST /v1/validations/instruments/HB-P0V3-E7HS-M2QY/void → 400
POST /v1/validations/programs/e5000000-0000-4000-8000-000000000001/issuances/e6000000-0000-4000-8000-000000000003/void → 403
POST /v1/validations/instruments/HB-P0V3-E7HS-M2QY/void → 403
POST /v1/validations/programs/e5000000-0000-4000-8000-000000000001/issuances/e6000000-0000-4000-8000-000000000003/void → 401
POST /v1/validations/instruments/HB-P0V3-E7HS-M2QY/void → 401
POST /v1/validations/programs/e5000000-0000-4000-8000-000000000001/issuances/e6000000-0000-4000-8000-000000000003/void → 429
POST /v1/validations/instruments/HB-P0V3-E7HS-M2QY/void → 429</t>
        </is>
      </c>
      <c r="G26" s="5">
        <f>IF(F26="",0,LEN(F26)-LEN(SUBSTITUTE(F26,CHAR(10),""))+1)</f>
        <v/>
      </c>
      <c r="H26" s="5" t="inlineStr"/>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H3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4" customWidth="1" min="2" max="2"/>
    <col width="11" customWidth="1" min="3" max="3"/>
    <col width="26" customWidth="1" min="4" max="4"/>
    <col width="90" customWidth="1" min="5" max="5"/>
    <col width="52" customWidth="1" min="6" max="6"/>
    <col width="10" customWidth="1" min="7" max="7"/>
    <col width="14" customWidth="1" min="8" max="8"/>
  </cols>
  <sheetData>
    <row r="1">
      <c r="A1" s="3" t="inlineStr">
        <is>
          <t>ID</t>
        </is>
      </c>
      <c r="B1" s="3" t="inlineStr">
        <is>
          <t>Title</t>
        </is>
      </c>
      <c r="C1" s="3" t="inlineStr">
        <is>
          <t>Kind</t>
        </is>
      </c>
      <c r="D1" s="3" t="inlineStr">
        <is>
          <t>Annex A rows</t>
        </is>
      </c>
      <c r="E1" s="3" t="inlineStr">
        <is>
          <t>Scenario (Given / When / Then)</t>
        </is>
      </c>
      <c r="F1" s="3" t="inlineStr">
        <is>
          <t>Exchanges (request → status)</t>
        </is>
      </c>
      <c r="G1" s="3" t="inlineStr">
        <is>
          <t>Exchange count</t>
        </is>
      </c>
      <c r="H1" s="3" t="inlineStr">
        <is>
          <t>Open spec gap</t>
        </is>
      </c>
    </row>
    <row r="2">
      <c r="A2" s="5" t="inlineStr">
        <is>
          <t>VIO-01</t>
        </is>
      </c>
      <c r="B2" s="5" t="inlineStr">
        <is>
          <t>Handheld screen-pop: entitled by a permit bound to the garage</t>
        </is>
      </c>
      <c r="C2" s="5" t="inlineStr">
        <is>
          <t>happy</t>
        </is>
      </c>
      <c r="D2" s="5" t="inlineStr">
        <is>
          <t>APX-VIO-06</t>
        </is>
      </c>
      <c r="E2" s="5" t="inlineStr">
        <is>
          <t>Given officer Okafor walks Level 2 with a handheld that asks one question per plate. When it asks about SYN-1234, whose monthly permit is bound to the garage root, an ancestor of Level 2. Then entitled: true with the ancestor-bound right as the valid basis and the last read; nothing is created. The same question with an explicit credentialType and at is answered for that instant.</t>
        </is>
      </c>
      <c r="F2" s="5" t="inlineStr">
        <is>
          <t>GET /v1/enforcement/eligibility → 200
GET /v1/enforcement/eligibility → 200</t>
        </is>
      </c>
      <c r="G2" s="5">
        <f>IF(F2="",0,LEN(F2)-LEN(SUBSTITUTE(F2,CHAR(10),""))+1)</f>
        <v/>
      </c>
      <c r="H2" s="5" t="inlineStr"/>
    </row>
    <row r="3">
      <c r="A3" s="5" t="inlineStr">
        <is>
          <t>VIO-02</t>
        </is>
      </c>
      <c r="B3" s="5" t="inlineStr">
        <is>
          <t>Not entitled: wrong level, early arrival, and a place that does not exist</t>
        </is>
      </c>
      <c r="C3" s="5" t="inlineStr">
        <is>
          <t>happy</t>
        </is>
      </c>
      <c r="D3" s="5" t="inlineStr">
        <is>
          <t>APX-VIO-06</t>
        </is>
      </c>
      <c r="E3" s="5" t="inlineStr">
        <is>
          <t>Given SYN-8820 holds a Level 3 permit and is parked on Level 2, and SYN-7007 has a reservation on Level 2 starting at noon. When the handheld asks at 10:14, and again for SYN-7007 at 11:30 in the past. Then wrongPlace and notYetValid bases with advisory suggestedViolationType values the officer is free to overrule; a place id nobody has is 404.</t>
        </is>
      </c>
      <c r="F3" s="5" t="inlineStr">
        <is>
          <t>GET /v1/enforcement/eligibility → 200
GET /v1/enforcement/eligibility → 200
GET /v1/enforcement/eligibility → 404</t>
        </is>
      </c>
      <c r="G3" s="5">
        <f>IF(F3="",0,LEN(F3)-LEN(SUBSTITUTE(F3,CHAR(10),""))+1)</f>
        <v/>
      </c>
      <c r="H3" s="5" t="inlineStr"/>
    </row>
    <row r="4">
      <c r="A4" s="5" t="inlineStr">
        <is>
          <t>VIO-03</t>
        </is>
      </c>
      <c r="B4" s="5" t="inlineStr">
        <is>
          <t>The LPR van finds an overstay in Lot C</t>
        </is>
      </c>
      <c r="C4" s="5" t="inlineStr">
        <is>
          <t>happy</t>
        </is>
      </c>
      <c r="D4" s="5" t="inlineStr">
        <is>
          <t>APX-VIO-01, APX-VIO-08, APX-VIO-09</t>
        </is>
      </c>
      <c r="E4" s="5" t="inlineStr">
        <is>
          <t>Given the van's 09:31 read of SYN-4471 is already an APDS Observation, and the pay-by-plate session ended at 09:05. When the pipeline records the violation with the observation, an image link, and the location copied from the Observation. Then 201 in detected with the eligibility check the server ran at creation stored on the record, and apx.violations.detected.v1 is published with the Violation as data.</t>
        </is>
      </c>
      <c r="F4" s="5" t="inlineStr">
        <is>
          <t>POST /v1/violations → 201</t>
        </is>
      </c>
      <c r="G4" s="5">
        <f>IF(F4="",0,LEN(F4)-LEN(SUBSTITUTE(F4,CHAR(10),""))+1)</f>
        <v/>
      </c>
      <c r="H4" s="5" t="inlineStr"/>
    </row>
    <row r="5">
      <c r="A5" s="5" t="inlineStr">
        <is>
          <t>VIO-04</t>
        </is>
      </c>
      <c r="B5" s="5" t="inlineStr">
        <is>
          <t>The van uploads the same batch twice, then a bug reuses a key</t>
        </is>
      </c>
      <c r="C5" s="5" t="inlineStr">
        <is>
          <t>edge</t>
        </is>
      </c>
      <c r="D5" s="5" t="inlineStr">
        <is>
          <t>APX-VIO-01</t>
        </is>
      </c>
      <c r="E5" s="5" t="inlineStr">
        <is>
          <t>Given the van lost connectivity after the 201 in VIO-03. When it retries with the identical key and body. Then 200 with the ORIGINAL violation, whatever state it has reached; no second record. A later upload that reuses the key for a different plate is 409 idempotency-conflict and records nothing.</t>
        </is>
      </c>
      <c r="F5" s="5" t="inlineStr">
        <is>
          <t>POST /v1/violations → 200
POST /v1/violations → 409</t>
        </is>
      </c>
      <c r="G5" s="5">
        <f>IF(F5="",0,LEN(F5)-LEN(SUBSTITUTE(F5,CHAR(10),""))+1)</f>
        <v/>
      </c>
      <c r="H5" s="5" t="inlineStr"/>
    </row>
    <row r="6">
      <c r="A6" s="5" t="inlineStr">
        <is>
          <t>VIO-05</t>
        </is>
      </c>
      <c r="B6" s="5" t="inlineStr">
        <is>
          <t>Malformed detections: no key, no detection, latitude first, unknown type, unknown place</t>
        </is>
      </c>
      <c r="C6" s="5" t="inlineStr">
        <is>
          <t>refusal</t>
        </is>
      </c>
      <c r="D6" s="5" t="inlineStr">
        <is>
          <t>APX-VIO-01, APX-VIO-09</t>
        </is>
      </c>
      <c r="E6" s="5" t="inlineStr">
        <is>
          <t>Given five broken integrations. When one omits Idempotency-Key, one sends no detection, one sends coordinates latitude-first (the second element, −87.62, is outside −90..90), one uses a violationType in nobody's registry, and one names a place that does not exist. Then 400 idempotency-key-required, 400 invalid-request twice (with errors[] naming the member), and 422 reference-unknown twice — the types the route's 400 and 422 descriptions now name (F-VIO-02, F-VIO-03 fixed).</t>
        </is>
      </c>
      <c r="F6" s="5" t="inlineStr">
        <is>
          <t>POST /v1/violations → 400
POST /v1/violations → 400
POST /v1/violations → 400
POST /v1/violations → 422
POST /v1/violations → 422</t>
        </is>
      </c>
      <c r="G6" s="5">
        <f>IF(F6="",0,LEN(F6)-LEN(SUBSTITUTE(F6,CHAR(10),""))+1)</f>
        <v/>
      </c>
      <c r="H6" s="5" t="inlineStr"/>
    </row>
    <row r="7">
      <c r="A7" s="5" t="inlineStr">
        <is>
          <t>VIO-06</t>
        </is>
      </c>
      <c r="B7" s="5" t="inlineStr">
        <is>
          <t>The pipeline reads a monthly permit holder: recorded, and dismissed</t>
        </is>
      </c>
      <c r="C7" s="5" t="inlineStr">
        <is>
          <t>happy</t>
        </is>
      </c>
      <c r="D7" s="5" t="inlineStr">
        <is>
          <t>APX-VIO-01</t>
        </is>
      </c>
      <c r="E7" s="5" t="inlineStr">
        <is>
          <t>Given the van also reads SYN-1234 in Lot C, and the garage-wide monthly permit covers Lot C. When the pipeline submits it anyway (its pre-filter is off). Then 201, but in dismissed, with the valid basis on the record: the audit shows what was checked, and the queue's false-positive rate is measurable.</t>
        </is>
      </c>
      <c r="F7" s="5" t="inlineStr">
        <is>
          <t>POST /v1/violations → 201</t>
        </is>
      </c>
      <c r="G7" s="5">
        <f>IF(F7="",0,LEN(F7)-LEN(SUBSTITUTE(F7,CHAR(10),""))+1)</f>
        <v/>
      </c>
      <c r="H7" s="5" t="inlineStr"/>
    </row>
    <row r="8">
      <c r="A8" s="5" t="inlineStr">
        <is>
          <t>VIO-07</t>
        </is>
      </c>
      <c r="B8" s="5" t="inlineStr">
        <is>
          <t>Guided: the officer records the candidate, then confirms with a corrected type</t>
        </is>
      </c>
      <c r="C8" s="5" t="inlineStr">
        <is>
          <t>happy</t>
        </is>
      </c>
      <c r="D8" s="5" t="inlineStr">
        <is>
          <t>APX-VIO-03, APX-VIO-08, APX-VIO-09</t>
        </is>
      </c>
      <c r="E8" s="5" t="inlineStr">
        <is>
          <t>Given the screen-pop in VIO-02 said wrongPlace for SYN-8820. When the handheld records a guided detection with the officer's own position, and on site the officer finds the car in the accessible bay and confirms with violationType: restrictedSpace. Then 201 detected, then 200 confirmed carrying the officer's correction, and apx.violations.status.v1 is published for the review. location is now described as *modelled on* the APDS Observation Location — observerLocation optional, accuracyMetres added — so the handheld's body is conformant as written (F-VIO-16 fixed).</t>
        </is>
      </c>
      <c r="F8" s="5" t="inlineStr">
        <is>
          <t>POST /v1/violations → 201
POST /v1/violations/d3000000-0000-4000-8000-000000000003/review → 200</t>
        </is>
      </c>
      <c r="G8" s="5">
        <f>IF(F8="",0,LEN(F8)-LEN(SUBSTITUTE(F8,CHAR(10),""))+1)</f>
        <v/>
      </c>
      <c r="H8" s="5" t="inlineStr"/>
    </row>
    <row r="9">
      <c r="A9" s="5" t="inlineStr">
        <is>
          <t>VIO-08</t>
        </is>
      </c>
      <c r="B9" s="5" t="inlineStr">
        <is>
          <t>Skipping review: a guided candidate, and an automated one where the policy forbids it</t>
        </is>
      </c>
      <c r="C9" s="5" t="inlineStr">
        <is>
          <t>refusal</t>
        </is>
      </c>
      <c r="D9" s="5" t="inlineStr">
        <is>
          <t>APX-VIO-03</t>
        </is>
      </c>
      <c r="E9" s="5" t="inlineStr">
        <is>
          <t>Given a guided detection of SYN-6102 in Lot C still in detected, and an automated bay-camera detection of a cloned permit on Level 2, where the garage policy in force says unreviewedIssuance.permitted: false. When the pipeline first reads the effective policy, then an over-eager integration issues both straight away. Then the pipeline can see the refusal coming from …/policies/effective; 409 violation-not-issuable twice; issuing an id that does not exist is 404 (F-VIO-04 fixed: the rule is on the policy resource).</t>
        </is>
      </c>
      <c r="F9" s="5" t="inlineStr">
        <is>
          <t>GET /v1/enforcement/policies/effective → 200
POST /v1/violations → 201
POST /v1/violations/d3000000-0000-4000-8000-000000000004/issue → 409
POST /v1/violations → 201
POST /v1/violations/d3000000-0000-4000-8000-000000000005/issue → 409
POST /v1/violations/d3000000-0000-4000-8000-0000000000ff/issue → 404</t>
        </is>
      </c>
      <c r="G9" s="5">
        <f>IF(F9="",0,LEN(F9)-LEN(SUBSTITUTE(F9,CHAR(10),""))+1)</f>
        <v/>
      </c>
      <c r="H9" s="5" t="inlineStr"/>
    </row>
    <row r="10">
      <c r="A10" s="5" t="inlineStr">
        <is>
          <t>VIO-09</t>
        </is>
      </c>
      <c r="B10" s="5" t="inlineStr">
        <is>
          <t>Dismissed on site, reviewed twice, dismissed without a reason</t>
        </is>
      </c>
      <c r="C10" s="5" t="inlineStr">
        <is>
          <t>refusal</t>
        </is>
      </c>
      <c r="D10" s="5" t="inlineStr">
        <is>
          <t>APX-VIO-02, APX-VIO-03</t>
        </is>
      </c>
      <c r="E10" s="5" t="inlineStr">
        <is>
          <t>Given the handheld read SYN-2211 on Level 2 but the plate is SYN-2271 with a valid permit. When the officer dismisses with plateMisread, then the handheld's retry reviews the same record again, and a back-office user dismisses the Level 2 permit case with no reason. Then 200 dismissed (never deleted), 409 violation-transition-illegal, and 400 invalid-request for the missing reason — the rule is in the schema's reason description and §19.1 rule 1, and review declares the 400 (F-VIO-05 fixed; stated in prose rather than an if/then, which would narrow an existing request body). Reviewing an unknown id is 404.</t>
        </is>
      </c>
      <c r="F10" s="5" t="inlineStr">
        <is>
          <t>POST /v1/violations → 201
POST /v1/violations/d3000000-0000-4000-8000-000000000006/review → 200
POST /v1/violations/d3000000-0000-4000-8000-000000000006/review → 409
POST /v1/violations/d3000000-0000-4000-8000-000000000005/review → 400
POST /v1/violations/d3000000-0000-4000-8000-0000000000ff/review → 404</t>
        </is>
      </c>
      <c r="G10" s="5">
        <f>IF(F10="",0,LEN(F10)-LEN(SUBSTITUTE(F10,CHAR(10),""))+1)</f>
        <v/>
      </c>
      <c r="H10" s="5" t="inlineStr"/>
    </row>
    <row r="11">
      <c r="A11" s="5" t="inlineStr">
        <is>
          <t>VIO-10</t>
        </is>
      </c>
      <c r="B11" s="5" t="inlineStr">
        <is>
          <t>Unreviewed automated issuance by mail, policy and signage frozen on</t>
        </is>
      </c>
      <c r="C11" s="5" t="inlineStr">
        <is>
          <t>happy</t>
        </is>
      </c>
      <c r="D11" s="5" t="inlineStr">
        <is>
          <t>APX-VIO-03, APX-VIO-08, APX-VIO-10, APX-VIO-12</t>
        </is>
      </c>
      <c r="E11" s="5" t="inlineStr">
        <is>
          <t>Given the VIO-03 overstay in Lot C, and Lot C policy d4…0001 (unreviewedIssuance permitted at confidence ≥ 0.9; mail allowed for automated detections within 14 days, with one observation, one image, and a position). When the pipeline issues a $35 mailed notice. Then 200 issued, with the policy version, the entrance sign in force at detectedTime, the unpaid fee ($18.00) and the resulting cap (2× = $36.00) as unpaidAmount/capAmount, and the first amountHistory entry frozen onto the record, and apx.violations.issued.v1 published (F-VIO-06 fixed).</t>
        </is>
      </c>
      <c r="F11" s="5" t="inlineStr">
        <is>
          <t>POST /v1/violations/d3000000-0000-4000-8000-000000000001/issue → 200</t>
        </is>
      </c>
      <c r="G11" s="5">
        <f>IF(F11="",0,LEN(F11)-LEN(SUBSTITUTE(F11,CHAR(10),""))+1)</f>
        <v/>
      </c>
      <c r="H11" s="5" t="inlineStr"/>
    </row>
    <row r="12">
      <c r="A12" s="5" t="inlineStr">
        <is>
          <t>VIO-11</t>
        </is>
      </c>
      <c r="B12" s="5" t="inlineStr">
        <is>
          <t>A guided notice by mail, then above the cap, then lawful on the windshield</t>
        </is>
      </c>
      <c r="C12" s="5" t="inlineStr">
        <is>
          <t>refusal</t>
        </is>
      </c>
      <c r="D12" s="5" t="inlineStr">
        <is>
          <t>APX-VIO-10, APX-VIO-12</t>
        </is>
      </c>
      <c r="E12" s="5" t="inlineStr">
        <is>
          <t>Given the guided Lot C detection d3…0004 from VIO-08. When the officer confirms it, the handheld defaults to mail, then retries on the windshield at $40 against an $18 unpaid fee, then sends a body with no amount, then at $35. Then 422 delivery-method-not-permitted (mail is lawful only for camera detections), 422 penalty-exceeds-cap (2× = $36, onExceed: refuse), 400 invalid-request, and finally 200 issued with the policy, sign, unpaidAmount, and capAmount frozen.</t>
        </is>
      </c>
      <c r="F12" s="5" t="inlineStr">
        <is>
          <t>POST /v1/violations/d3000000-0000-4000-8000-000000000004/review → 200
POST /v1/violations/d3000000-0000-4000-8000-000000000004/issue → 422
POST /v1/violations/d3000000-0000-4000-8000-000000000004/issue → 422
POST /v1/violations/d3000000-0000-4000-8000-000000000004/issue → 400
POST /v1/violations/d3000000-0000-4000-8000-000000000004/issue → 200</t>
        </is>
      </c>
      <c r="G12" s="5">
        <f>IF(F12="",0,LEN(F12)-LEN(SUBSTITUTE(F12,CHAR(10),""))+1)</f>
        <v/>
      </c>
      <c r="H12" s="5" t="inlineStr"/>
    </row>
    <row r="13">
      <c r="A13" s="5" t="inlineStr">
        <is>
          <t>VIO-12</t>
        </is>
      </c>
      <c r="B13" s="5" t="inlineStr">
        <is>
          <t>Too late, and not enough evidence</t>
        </is>
      </c>
      <c r="C13" s="5" t="inlineStr">
        <is>
          <t>refusal</t>
        </is>
      </c>
      <c r="D13" s="5" t="inlineStr">
        <is>
          <t>APX-VIO-10</t>
        </is>
      </c>
      <c r="E13" s="5" t="inlineStr">
        <is>
          <t>Given two automated Lot C detections the back office only now gets to: d3…0007, a maximum-stay overstay detected sixteen days ago, and d3…0008, a street-cleaning read whose camera sent no position. When both are issued by mail. Then 422 notice-deadline-passed (14 days) and 422 delivery-method-not-permitted with detail naming the missing evidence.</t>
        </is>
      </c>
      <c r="F13" s="5" t="inlineStr">
        <is>
          <t>POST /v1/violations/d3000000-0000-4000-8000-000000000007/issue → 422
POST /v1/violations/d3000000-0000-4000-8000-000000000008/issue → 422</t>
        </is>
      </c>
      <c r="G13" s="5">
        <f>IF(F13="",0,LEN(F13)-LEN(SUBSTITUTE(F13,CHAR(10),""))+1)</f>
        <v/>
      </c>
      <c r="H13" s="5" t="inlineStr"/>
    </row>
    <row r="14">
      <c r="A14" s="5" t="inlineStr">
        <is>
          <t>VIO-13</t>
        </is>
      </c>
      <c r="B14" s="5" t="inlineStr">
        <is>
          <t>Level 2 inherits the garage policy, and the cap clamps</t>
        </is>
      </c>
      <c r="C14" s="5" t="inlineStr">
        <is>
          <t>happy</t>
        </is>
      </c>
      <c r="D14" s="5" t="inlineStr">
        <is>
          <t>APX-VIO-10, APX-VIO-12</t>
        </is>
      </c>
      <c r="E14" s="5" t="inlineStr">
        <is>
          <t>Given Level 2 has no policy of its own; the garage root carries d4…0002 (penalty cap $50, onExceed: clamp). When the handheld asks what applies on Level 2, then issues the confirmed accessible-bay case from VIO-07 at $75. Then the effective lookup returns the root policy, and the issue succeeds at $50 with a single first amountHistory entry reason: cap, amount $50, and requestedAmount $75 — the shape §19.10 rule 2 now fixes (F-VIO-07 fixed).</t>
        </is>
      </c>
      <c r="F14" s="5" t="inlineStr">
        <is>
          <t>GET /v1/enforcement/policies/effective → 200
POST /v1/violations/d3000000-0000-4000-8000-000000000003/issue → 200</t>
        </is>
      </c>
      <c r="G14" s="5">
        <f>IF(F14="",0,LEN(F14)-LEN(SUBSTITUTE(F14,CHAR(10),""))+1)</f>
        <v/>
      </c>
      <c r="H14" s="5" t="inlineStr"/>
    </row>
    <row r="15">
      <c r="A15" s="5" t="inlineStr">
        <is>
          <t>VIO-14</t>
        </is>
      </c>
      <c r="B15" s="5" t="inlineStr">
        <is>
          <t>Manual finds: a new level with no sign yet, and a lot with no policy at all</t>
        </is>
      </c>
      <c r="C15" s="5" t="inlineStr">
        <is>
          <t>refusal</t>
        </is>
      </c>
      <c r="D15" s="5" t="inlineStr">
        <is>
          <t>APX-VIO-03, APX-VIO-10, APX-VIO-12</t>
        </is>
      </c>
      <c r="E15" s="5" t="inlineStr">
        <is>
          <t>Given Level 4 (b1…0006) opened on 2026-09-22 under the garage policy (signageRequired: true), but its entry sign has not been recorded; and Lot D (b1…0005), a leased overflow lot bound under a separate root, has no policy anywhere up its tree. When the officer creates a manual obstruction on Level 4, confirms their own finding, and issues; then does the same for a car across two bays in Lot D. Then 422 signage-required on Level 4; on Lot D, 404 from the effective lookup and a 200 issue with no policy checks and no policy frozen on.</t>
        </is>
      </c>
      <c r="F15" s="5" t="inlineStr">
        <is>
          <t>POST /v1/violations → 201
POST /v1/violations/d3000000-0000-4000-8000-000000000010/review → 200
POST /v1/violations/d3000000-0000-4000-8000-000000000010/issue → 422
GET /v1/enforcement/policies/effective → 404
POST /v1/violations → 201
POST /v1/violations/d3000000-0000-4000-8000-000000000011/review → 200
POST /v1/violations/d3000000-0000-4000-8000-000000000011/issue → 200</t>
        </is>
      </c>
      <c r="G15" s="5">
        <f>IF(F15="",0,LEN(F15)-LEN(SUBSTITUTE(F15,CHAR(10),""))+1)</f>
        <v/>
      </c>
      <c r="H15" s="5" t="inlineStr"/>
    </row>
    <row r="16">
      <c r="A16" s="5" t="inlineStr">
        <is>
          <t>VIO-15</t>
        </is>
      </c>
      <c r="B16" s="5" t="inlineStr">
        <is>
          <t>Paid online: the money goes through Part 13, the violation links it</t>
        </is>
      </c>
      <c r="C16" s="5" t="inlineStr">
        <is>
          <t>lifecycle</t>
        </is>
      </c>
      <c r="D16" s="5" t="inlineStr">
        <is>
          <t>APX-VIO-02, APX-VIO-05, APX-VIO-08</t>
        </is>
      </c>
      <c r="E16" s="5" t="inlineStr">
        <is>
          <t>Given the mailed notice LG-2026-018301 from VIO-10, and the driver paid $35 on the portal through POST /v1/payments, which returned PaymentRecord d9…0001. When the portal attaches it, then its retry attaches it again, and an integration tries to pay the still-detected Level 2 case, an unknown id, and a body with no payment. Then 200 paid with apx.violations.status.v1, then 409 violation-transition-illegal twice, 404, and 400 invalid-request. On 2026-10-19 — day 25, past Lot C's 21-day appealWindowDays — the driver asks to contest after paying: 409 appeal-closed (the window, not the state, refuses it; inside the window a pay-then-appeal is lawful, VIO-29, F-VIO-13 fixed). A month later reconciliation has closed it server-side.</t>
        </is>
      </c>
      <c r="F16" s="5" t="inlineStr">
        <is>
          <t>POST /v1/violations/d3000000-0000-4000-8000-000000000001/payment → 200
POST /v1/violations/d3000000-0000-4000-8000-000000000001/payment → 409
POST /v1/violations/d3000000-0000-4000-8000-000000000001/appeals → 409
POST /v1/violations/d3000000-0000-4000-8000-000000000001/payment → 400
POST /v1/violations/d3000000-0000-4000-8000-000000000005/payment → 409
POST /v1/violations/d3000000-0000-4000-8000-0000000000ff/payment → 404
GET /v1/violations/d3000000-0000-4000-8000-000000000001 → 200</t>
        </is>
      </c>
      <c r="G16" s="5">
        <f>IF(F16="",0,LEN(F16)-LEN(SUBSTITUTE(F16,CHAR(10),""))+1)</f>
        <v/>
      </c>
      <c r="H16" s="5" t="inlineStr"/>
    </row>
    <row r="17">
      <c r="A17" s="5" t="inlineStr">
        <is>
          <t>VIO-16</t>
        </is>
      </c>
      <c r="B17" s="5" t="inlineStr">
        <is>
          <t>Appealed inside the window: escalation pauses, the reviewer reduces</t>
        </is>
      </c>
      <c r="C17" s="5" t="inlineStr">
        <is>
          <t>lifecycle</t>
        </is>
      </c>
      <c r="D17" s="5" t="inlineStr">
        <is>
          <t>APX-VIO-04, APX-VIO-07, APX-VIO-11</t>
        </is>
      </c>
      <c r="E17" s="5" t="inlineStr">
        <is>
          <t>Given d3…0009, an automated Lot C early-arrival case (notYetValidRight) mailed at $35 on 2026-09-24. When the driver appeals on 2026-10-10 with a photo of the reservation (appellant media, held as untrusted), day 30 passes while the appeal is open, and the reviewer reduces to $20 on 2026-10-28. Then appealed, no escalation entry at day 30, and back to issued at $20 with reason: appealReduced. The escalation clock paused for the 18 days appealed, so the late-30 step does not fire on return; it falls due on day 30 of time spent issued, 2026-11-11 (F-VIO-09 fixed, §19.10 rule 3). A second appeal is 409 appeal-closed.</t>
        </is>
      </c>
      <c r="F17" s="5" t="inlineStr">
        <is>
          <t>POST /v1/violations/d3000000-0000-4000-8000-000000000009/appeals → 200
GET /v1/violations/d3000000-0000-4000-8000-000000000009 → 200
POST /v1/violations/d3000000-0000-4000-8000-000000000009/appeals/resolve → 200
POST /v1/violations/d3000000-0000-4000-8000-000000000009/appeals → 409</t>
        </is>
      </c>
      <c r="G17" s="5">
        <f>IF(F17="",0,LEN(F17)-LEN(SUBSTITUTE(F17,CHAR(10),""))+1)</f>
        <v/>
      </c>
      <c r="H17" s="5" t="inlineStr"/>
    </row>
    <row r="18">
      <c r="A18" s="5" t="inlineStr">
        <is>
          <t>VIO-17</t>
        </is>
      </c>
      <c r="B18" s="5" t="inlineStr">
        <is>
          <t>Appeal dismissed: closed, and everything after it refused</t>
        </is>
      </c>
      <c r="C18" s="5" t="inlineStr">
        <is>
          <t>lifecycle</t>
        </is>
      </c>
      <c r="D18" s="5" t="inlineStr">
        <is>
          <t>APX-VIO-02, APX-VIO-04</t>
        </is>
      </c>
      <c r="E18" s="5" t="inlineStr">
        <is>
          <t>Given the $50 accessible-bay citation d3…0003 from VIO-13. When the driver appeals with a photo of the placard, and the reviewer dismisses. Then appealed, then closed. Afterwards resolving again and appealing again are 409 appeal-closed, and voiding or paying the closed record is 409 violation-transition-illegal. Appealing or resolving an unknown id is 404.</t>
        </is>
      </c>
      <c r="F18" s="5" t="inlineStr">
        <is>
          <t>POST /v1/violations/d3000000-0000-4000-8000-000000000003/appeals → 200
POST /v1/violations/d3000000-0000-4000-8000-000000000003/appeals/resolve → 200
POST /v1/violations/d3000000-0000-4000-8000-000000000003/appeals/resolve → 409
POST /v1/violations/d3000000-0000-4000-8000-000000000003/appeals → 409
POST /v1/violations/d3000000-0000-4000-8000-000000000003/void → 409
POST /v1/violations/d3000000-0000-4000-8000-0000000000ff/appeals → 404
POST /v1/violations/d3000000-0000-4000-8000-0000000000ff/appeals/resolve → 404</t>
        </is>
      </c>
      <c r="G18" s="5">
        <f>IF(F18="",0,LEN(F18)-LEN(SUBSTITUTE(F18,CHAR(10),""))+1)</f>
        <v/>
      </c>
      <c r="H18" s="5" t="inlineStr"/>
    </row>
    <row r="19">
      <c r="A19" s="5" t="inlineStr">
        <is>
          <t>VIO-18</t>
        </is>
      </c>
      <c r="B19" s="5" t="inlineStr">
        <is>
          <t>Upheld, and the transitions that are not allowed</t>
        </is>
      </c>
      <c r="C19" s="5" t="inlineStr">
        <is>
          <t>refusal</t>
        </is>
      </c>
      <c r="D19" s="5" t="inlineStr">
        <is>
          <t>APX-VIO-02, APX-VIO-04</t>
        </is>
      </c>
      <c r="E19" s="5" t="inlineStr">
        <is>
          <t>Given the Lot D warning d3…0011 from VIO-14, and the confirmed but unissued Level 4 case d3…0010. When the driver appeals the warning, the reviewer first sends reduced with no adjustedAmount, then upheld; someone resolves the un-appealed d3…0004; someone appeals the never-issued d3…0010; and a portal bug opens an appeal with no reason. Then appealed (openedFrom: issued); 400 invalid-request for the missing amount (declared, and stated in the adjustedAmount description and §19.1 rule 3: F-VIO-05 fixed); upheld back to issued with the amount unchanged; 409 appeal-closed for the resolve with no open appeal, and 409 violation-transition-illegal for the appeal from confirmed — §19.1 rule 3 now draws that line explicitly (F-VIO-08 fixed); and 400 invalid-request for the reason-less appeal.</t>
        </is>
      </c>
      <c r="F19" s="5" t="inlineStr">
        <is>
          <t>POST /v1/violations/d3000000-0000-4000-8000-000000000011/appeals → 400
POST /v1/violations/d3000000-0000-4000-8000-000000000011/appeals → 200
POST /v1/violations/d3000000-0000-4000-8000-000000000011/appeals/resolve → 400
POST /v1/violations/d3000000-0000-4000-8000-000000000011/appeals/resolve → 200
POST /v1/violations/d3000000-0000-4000-8000-000000000004/appeals/resolve → 409
POST /v1/violations/d3000000-0000-4000-8000-000000000010/appeals → 409</t>
        </is>
      </c>
      <c r="G19" s="5">
        <f>IF(F19="",0,LEN(F19)-LEN(SUBSTITUTE(F19,CHAR(10),""))+1)</f>
        <v/>
      </c>
      <c r="H19" s="5" t="inlineStr"/>
    </row>
    <row r="20">
      <c r="A20" s="5" t="inlineStr">
        <is>
          <t>VIO-19</t>
        </is>
      </c>
      <c r="B20" s="5" t="inlineStr">
        <is>
          <t>Day 30 and day 60: the server escalates; a late appeal is refused</t>
        </is>
      </c>
      <c r="C20" s="5" t="inlineStr">
        <is>
          <t>lifecycle</t>
        </is>
      </c>
      <c r="D20" s="5" t="inlineStr">
        <is>
          <t>APX-VIO-04, APX-VIO-08, APX-VIO-11</t>
        </is>
      </c>
      <c r="E20" s="5" t="inlineStr">
        <is>
          <t>Given the $35 windshield citation d3…0004 from VIO-11, unpaid and unappealed, under Lot C policy (grace 14 days, +25% at 30, +$15 at 60, ceiling 3× = $105, appeal window 21 days). When day 30 passes, the driver tries to appeal on day 45, and day 60 passes. Then the server appends late-30 ($43.75) and publishes apx.violations.status.v1; the appeal is 409 appeal-closed (outside the window); late-60 brings it to $58.75. No client computed either amount.</t>
        </is>
      </c>
      <c r="F20" s="5" t="inlineStr">
        <is>
          <t>POST /v1/violations/d3000000-0000-4000-8000-000000000004/appeals → 409
GET /v1/violations/d3000000-0000-4000-8000-000000000004 → 200</t>
        </is>
      </c>
      <c r="G20" s="5">
        <f>IF(F20="",0,LEN(F20)-LEN(SUBSTITUTE(F20,CHAR(10),""))+1)</f>
        <v/>
      </c>
      <c r="H20" s="5" t="inlineStr"/>
    </row>
    <row r="21">
      <c r="A21" s="5" t="inlineStr">
        <is>
          <t>VIO-20</t>
        </is>
      </c>
      <c r="B21" s="5" t="inlineStr">
        <is>
          <t>Void: a duplicate, a missed deadline, and what cannot be voided</t>
        </is>
      </c>
      <c r="C21" s="5" t="inlineStr">
        <is>
          <t>lifecycle</t>
        </is>
      </c>
      <c r="D21" s="5" t="inlineStr">
        <is>
          <t>APX-VIO-02</t>
        </is>
      </c>
      <c r="E21" s="5" t="inlineStr">
        <is>
          <t>Given the Level 2 bay-camera case d3…0005 turns out to duplicate a handheld citation, and d3…0007 can no longer be lawfully noticed (VIO-12). When the supervisor voids both, voids d3…0005 again, tries to review it, voids the already-dismissed d3…0006, voids an unknown id, and sends a void with no reason. Then 200 voided twice with the record and history intact, 409 violation-transition-illegal three times, 404, and 400 invalid-request. The terminal set is now named once — dismissed, closed, voided — and paid is voidable with a refund reference (VIO-29; F-VIO-10 fixed).</t>
        </is>
      </c>
      <c r="F21" s="5" t="inlineStr">
        <is>
          <t>POST /v1/violations/d3000000-0000-4000-8000-000000000005/void → 200
POST /v1/violations/d3000000-0000-4000-8000-000000000007/void → 200
POST /v1/violations/d3000000-0000-4000-8000-000000000005/void → 409
POST /v1/violations/d3000000-0000-4000-8000-000000000005/review → 409
POST /v1/violations/d3000000-0000-4000-8000-000000000006/void → 409
POST /v1/violations/d3000000-0000-4000-8000-0000000000ff/void → 404
POST /v1/violations/d3000000-0000-4000-8000-000000000008/void → 400</t>
        </is>
      </c>
      <c r="G21" s="5">
        <f>IF(F21="",0,LEN(F21)-LEN(SUBSTITUTE(F21,CHAR(10),""))+1)</f>
        <v/>
      </c>
      <c r="H21" s="5" t="inlineStr"/>
    </row>
    <row r="22">
      <c r="A22" s="5" t="inlineStr">
        <is>
          <t>VIO-21</t>
        </is>
      </c>
      <c r="B22" s="5" t="inlineStr">
        <is>
          <t>The back office works the queue: filters, and the notice number a driver quotes</t>
        </is>
      </c>
      <c r="C22" s="5" t="inlineStr">
        <is>
          <t>happy</t>
        </is>
      </c>
      <c r="D22" s="5" t="inlineStr">
        <is>
          <t>APX-VIO-02, APX-VIO-07</t>
        </is>
      </c>
      <c r="E22" s="5" t="inlineStr">
        <is>
          <t>Given a supervisor clearing Lot C's backlog at noon, and a driver on the phone who quotes the number printed on their windshield. When the console lists by plate, by place + status + mode + type + since, and by place + a since..until window, then looks up LG-2026-018510 by notice number, then reads an id that does not exist. Then paginated lists in the APDS envelope (the plate is visible because the token holds apx.violations:read), the notice-number match, and 404 (F-VIO-11 fixed for noticeNumber and until; a list-valued place is deferred, since changing the parameter's type would break existing clients).</t>
        </is>
      </c>
      <c r="F22" s="5" t="inlineStr">
        <is>
          <t>GET /v1/violations → 200
GET /v1/violations → 200
GET /v1/violations → 200
GET /v1/violations → 200
GET /v1/violations/d3000000-0000-4000-8000-0000000000ff → 404</t>
        </is>
      </c>
      <c r="G22" s="5">
        <f>IF(F22="",0,LEN(F22)-LEN(SUBSTITUTE(F22,CHAR(10),""))+1)</f>
        <v/>
      </c>
      <c r="H22" s="5" t="inlineStr"/>
    </row>
    <row r="23">
      <c r="A23" s="5" t="inlineStr">
        <is>
          <t>VIO-22</t>
        </is>
      </c>
      <c r="B23" s="5" t="inlineStr">
        <is>
          <t>Putting the law on file for Lot C</t>
        </is>
      </c>
      <c r="C23" s="5" t="inlineStr">
        <is>
          <t>happy</t>
        </is>
      </c>
      <c r="D23" s="5" t="inlineStr">
        <is>
          <t>APX-VIO-10</t>
        </is>
      </c>
      <c r="E23" s="5" t="inlineStr">
        <is>
          <t>Given counsel's summary of the state private-lot notice statute, in June. When the back office creates the Lot C policy with an operator extension for its enforcement tooling, retries it, reuses the key for a different body, forgets the key, binds a policy to an unknown place, and writes an escalation step whose fixed addAmount alone exceeds the ceiling. Then 201 (with unreviewedIssuance permitted at confidence ≥ 0.9 for automated detections, which VIO-10 relies on), 200 (the current representation), 409 idempotency-conflict, 400 idempotency-key-required, 422 reference-unknown, and 422 request-unprocessable — the types the route now names (F-VIO-03 fixed). The last refusal is the one case §19.10 rule 3 still refuses; steps that merely could reach the ceiling are lawful, because the ceiling clamps (F-VIO-14 fixed). Then the list, the read, and a 404.</t>
        </is>
      </c>
      <c r="F23" s="5" t="inlineStr">
        <is>
          <t>POST /v1/enforcement/policies → 201
POST /v1/enforcement/policies → 200
POST /v1/enforcement/policies → 409
POST /v1/enforcement/policies → 400
POST /v1/enforcement/policies → 422
POST /v1/enforcement/policies → 422
GET /v1/enforcement/policies → 200
GET /v1/enforcement/policies/d4000000-0000-4000-8000-000000000001 → 200
GET /v1/enforcement/policies/d4000000-0000-4000-8000-0000000000ff → 404</t>
        </is>
      </c>
      <c r="G23" s="5">
        <f>IF(F23="",0,LEN(F23)-LEN(SUBSTITUTE(F23,CHAR(10),""))+1)</f>
        <v/>
      </c>
      <c r="H23" s="5" t="inlineStr"/>
    </row>
    <row r="24">
      <c r="A24" s="5" t="inlineStr">
        <is>
          <t>VIO-23</t>
        </is>
      </c>
      <c r="B24" s="5" t="inlineStr">
        <is>
          <t>The statute changes: a versioned policy update</t>
        </is>
      </c>
      <c r="C24" s="5" t="inlineStr">
        <is>
          <t>lifecycle</t>
        </is>
      </c>
      <c r="D24" s="5" t="inlineStr">
        <is>
          <t>APX-VIO-10</t>
        </is>
      </c>
      <c r="E24" s="5" t="inlineStr">
        <is>
          <t>Given the legislature extends the appeal window to 30 days from 2026-10-01. When the back office PUTs v1 → v2 carrying the extension it never touched, a second console PUTs against v1 a minute later, an update names an unknown policy, and one sets effectiveTo before effectiveFrom, and a script PUTs a body with no place. Then 200 v2 with the extension preserved byte-for-byte, 409 version-conflict, 404, 422 request-unprocessable (F-VIO-03 fixed), and 400 invalid-request. The precondition travels as If-Match: "1" (the route now declares the shared IfMatch parameter); the body version is the equivalent Part 4 §4.2a allows, and both are shown (F-VIO-12 fixed). Violations issued under v1 keep v1 (VIO-19 still shows it); the effective lookup now returns v2.</t>
        </is>
      </c>
      <c r="F24" s="5" t="inlineStr">
        <is>
          <t>PUT /v1/enforcement/policies/d4000000-0000-4000-8000-000000000001 → 200
PUT /v1/enforcement/policies/d4000000-0000-4000-8000-000000000001 → 409
PUT /v1/enforcement/policies/d4000000-0000-4000-8000-0000000000ff → 404
PUT /v1/enforcement/policies/d4000000-0000-4000-8000-000000000002 → 422
PUT /v1/enforcement/policies/d4000000-0000-4000-8000-000000000002 → 400
GET /v1/enforcement/policies/effective → 200</t>
        </is>
      </c>
      <c r="G24" s="5">
        <f>IF(F24="",0,LEN(F24)-LEN(SUBSTITUTE(F24,CHAR(10),""))+1)</f>
        <v/>
      </c>
      <c r="H24" s="5" t="inlineStr"/>
    </row>
    <row r="25">
      <c r="A25" s="5" t="inlineStr">
        <is>
          <t>VIO-24</t>
        </is>
      </c>
      <c r="B25" s="5" t="inlineStr">
        <is>
          <t>Recording the signs, and asking what was posted on the day</t>
        </is>
      </c>
      <c r="C25" s="5" t="inlineStr">
        <is>
          <t>happy</t>
        </is>
      </c>
      <c r="D25" s="5" t="inlineStr">
        <is>
          <t>APX-VIO-12</t>
        </is>
      </c>
      <c r="E25" s="5" t="inlineStr">
        <is>
          <t>Given Level 4's entry sign goes up at 13:00 on 2026-09-24, two hours after the refused citation in VIO-14. When the back office records it, retries, reuses the key for a different sign, forgets the key, and binds one to an unknown place; then an appeals reviewer asks what was in force on Level 4 at 11:15 and on Level 2 at 10:14, lists the garage's signs, reads one, and reads and asks about ids that do not exist. Then 201, 200, 409, 400, 422 reference-unknown (F-VIO-03 fixed); an empty answer for Level 4 at 11:15 (which is why VIO-14 was refused, and why this record does not help it retroactively); the Level 2 sign; a list; a record; and 404s.</t>
        </is>
      </c>
      <c r="F25" s="5" t="inlineStr">
        <is>
          <t>POST /v1/enforcement/signage → 201
POST /v1/enforcement/signage → 200
POST /v1/enforcement/signage → 409
POST /v1/enforcement/signage → 400
POST /v1/enforcement/signage → 422
GET /v1/enforcement/signage/effective → 200
GET /v1/enforcement/signage/effective → 200
GET /v1/enforcement/signage/effective → 404
GET /v1/enforcement/signage → 200
GET /v1/enforcement/signage/d5000000-0000-4000-8000-000000000001 → 200
GET /v1/enforcement/signage/d5000000-0000-4000-8000-0000000000ff → 404</t>
        </is>
      </c>
      <c r="G25" s="5">
        <f>IF(F25="",0,LEN(F25)-LEN(SUBSTITUTE(F25,CHAR(10),""))+1)</f>
        <v/>
      </c>
      <c r="H25" s="5" t="inlineStr"/>
    </row>
    <row r="26">
      <c r="A26" s="5" t="inlineStr">
        <is>
          <t>VIO-25</t>
        </is>
      </c>
      <c r="B26" s="5" t="inlineStr">
        <is>
          <t>The appeal window changes: the sign is superseded, never rewritten</t>
        </is>
      </c>
      <c r="C26" s="5" t="inlineStr">
        <is>
          <t>refusal</t>
        </is>
      </c>
      <c r="D26" s="5" t="inlineStr">
        <is>
          <t>APX-VIO-12</t>
        </is>
      </c>
      <c r="E26" s="5" t="inlineStr">
        <is>
          <t>Given the Lot C entrance sign d5…0001 is frozen on issued violations (VIO-10, VIO-11) and the amended statute (VIO-23) needs it to say 30 days. When the back office PUTs new wording onto it, then instead ends it (effectiveTo, superseded, text unchanged), then a second console PUTs against the stale version (If-Match: "1", Part 4 §4.2a; F-VIO-12 fixed), one updates an unknown id, and one sends a body with no text. Then 422 signage-referenced, 200 v2, 409 version-conflict, 404, and 400 invalid-request. The new wording is a new record (as in VIO-24).</t>
        </is>
      </c>
      <c r="F26" s="5" t="inlineStr">
        <is>
          <t>PUT /v1/enforcement/signage/d5000000-0000-4000-8000-000000000001 → 422
PUT /v1/enforcement/signage/d5000000-0000-4000-8000-000000000001 → 200
PUT /v1/enforcement/signage/d5000000-0000-4000-8000-000000000001 → 409
PUT /v1/enforcement/signage/d5000000-0000-4000-8000-0000000000ff → 404
PUT /v1/enforcement/signage/d5000000-0000-4000-8000-000000000002 → 400</t>
        </is>
      </c>
      <c r="G26" s="5">
        <f>IF(F26="",0,LEN(F26)-LEN(SUBSTITUTE(F26,CHAR(10),""))+1)</f>
        <v/>
      </c>
      <c r="H26" s="5" t="inlineStr"/>
    </row>
    <row r="27">
      <c r="A27" s="5" t="inlineStr">
        <is>
          <t>VIO-26</t>
        </is>
      </c>
      <c r="B27" s="5" t="inlineStr">
        <is>
          <t>Wrong scope, wrong garage, an ep-only client, and a grant-trimmed basis</t>
        </is>
      </c>
      <c r="C27" s="5" t="inlineStr">
        <is>
          <t>security</t>
        </is>
      </c>
      <c r="D27" s="5" t="inlineStr">
        <is>
          <t>APX-VIO-06, APX-VIO-07</t>
        </is>
      </c>
      <c r="E27" s="5" t="inlineStr">
        <is>
          <t>Given four credentials: a read-only reporting token (apx.violations:read), an APDS enforcement-provider client holding only the native ep role, the ordinary enforcement token pointed at Harbor Deck, and a handheld token granted Level 2 only. When each calls what it should not. Then every mutating operation refuses the read-only token with 403 insufficient-scope; every read refuses the ep-only client (the APDS role reaches the native routes, not /v1/violations, and plate values appear only under apx.violations:*); Harbor Deck targets are 403 insufficient-grant; and the Level-2-only handheld gets an eligibility answer whose basis[] omits the Lot C session it could not read directly (§19.3 rule 3).</t>
        </is>
      </c>
      <c r="F27" s="5" t="inlineStr">
        <is>
          <t>GET /v1/enforcement/eligibility → 200
GET /v1/violations → 403
POST /v1/violations → 403
GET /v1/violations/d3000000-0000-4000-8000-000000000004 → 403
POST /v1/violations/d3000000-0000-4000-8000-000000000004/review → 403
POST /v1/violations/d3000000-0000-4000-8000-000000000004/issue → 403
POST /v1/violations/d3000000-0000-4000-8000-000000000004/payment → 403
POST /v1/violations/d3000000-0000-4000-8000-000000000004/appeals → 403
POST /v1/violations/d3000000-0000-4000-8000-000000000004/appeals/resolve → 403
POST /v1/violations/d3000000-0000-4000-8000-000000000004/void → 403
GET /v1/enforcement/eligibility → 403
GET /v1/enforcement/policies → 403
POST /v1/enforcement/policies → 403
GET /v1/enforcement/policies/effective → 403
GET /v1/enforcement/policies/d4000000-0000-4000-8000-000000000001 → 403
PUT /v1/enforcement/policies/d4000000-0000-4000-8000-000000000001 → 403
GET /v1/enforcement/signage → 403
POST /v1/enforcement/signage → 403
GET /v1/enforcement/signage/effective → 403
GET /v1/enforcement/signage/d5000000-0000-4000-8000-000000000003 → 403
PUT /v1/enforcement/signage/d5000000-0000-4000-8000-000000000003 → 403
GET /v1/violations/d3000000-0000-4000-8000-000000000201 → 403
GET /v1/enforcement/eligibility → 403
POST /v1/violations → 403
POST /v1/violations/d3000000-0000-4000-8000-000000000201/void → 403</t>
        </is>
      </c>
      <c r="G27" s="5">
        <f>IF(F27="",0,LEN(F27)-LEN(SUBSTITUTE(F27,CHAR(10),""))+1)</f>
        <v/>
      </c>
      <c r="H27" s="5" t="inlineStr"/>
    </row>
    <row r="28">
      <c r="A28" s="5" t="inlineStr">
        <is>
          <t>VIO-27</t>
        </is>
      </c>
      <c r="B28" s="5" t="inlineStr">
        <is>
          <t>The handheld's token expires mid-shift</t>
        </is>
      </c>
      <c r="C28" s="5" t="inlineStr">
        <is>
          <t>security</t>
        </is>
      </c>
      <c r="D28" s="5" t="inlineStr">
        <is>
          <t>APX-VIO-07</t>
        </is>
      </c>
      <c r="E28" s="5" t="inlineStr">
        <is>
          <t>Given officer Okafor's handheld and the back-office console both keep going after their tokens expire at 14:00. When each of the twenty Violations operations is called on the expired token. Then 401 on every one, and no plate value, image link, or policy detail leaks in the body. Every body carries the unauthenticated type Part 12 now registers at 401 (F-VIO-01 fixed, with F-CTL-07).</t>
        </is>
      </c>
      <c r="F28" s="5" t="inlineStr">
        <is>
          <t>GET /v1/violations → 401
POST /v1/violations → 401
GET /v1/violations/d3000000-0000-4000-8000-000000000004 → 401
POST /v1/violations/d3000000-0000-4000-8000-000000000004/review → 401
POST /v1/violations/d3000000-0000-4000-8000-000000000004/issue → 401
POST /v1/violations/d3000000-0000-4000-8000-000000000004/payment → 401
POST /v1/violations/d3000000-0000-4000-8000-000000000004/appeals → 401
POST /v1/violations/d3000000-0000-4000-8000-000000000004/appeals/resolve → 401
POST /v1/violations/d3000000-0000-4000-8000-000000000004/void → 401
GET /v1/enforcement/eligibility → 401
GET /v1/enforcement/policies → 401
POST /v1/enforcement/policies → 401
GET /v1/enforcement/policies/effective → 401
GET /v1/enforcement/policies/d4000000-0000-4000-8000-000000000001 → 401
PUT /v1/enforcement/policies/d4000000-0000-4000-8000-000000000001 → 401
GET /v1/enforcement/signage → 401
POST /v1/enforcement/signage → 401
GET /v1/enforcement/signage/effective → 401
GET /v1/enforcement/signage/d5000000-0000-4000-8000-000000000003 → 401
PUT /v1/enforcement/signage/d5000000-0000-4000-8000-000000000003 → 401</t>
        </is>
      </c>
      <c r="G28" s="5">
        <f>IF(F28="",0,LEN(F28)-LEN(SUBSTITUTE(F28,CHAR(10),""))+1)</f>
        <v/>
      </c>
      <c r="H28" s="5" t="inlineStr"/>
    </row>
    <row r="29">
      <c r="A29" s="5" t="inlineStr">
        <is>
          <t>VIO-28</t>
        </is>
      </c>
      <c r="B29" s="5" t="inlineStr">
        <is>
          <t>Monday 06:00: the street-cleaning sweep floods the server</t>
        </is>
      </c>
      <c r="C29" s="5" t="inlineStr">
        <is>
          <t>edge</t>
        </is>
      </c>
      <c r="D29" s="5" t="inlineStr">
        <is>
          <t>APX-VIO-01</t>
        </is>
      </c>
      <c r="E29" s="5" t="inlineStr">
        <is>
          <t>Given three LPR vans upload the street-cleaning sweep at once while the back office reloads policies and handhelds poll eligibility. When the credential exceeds its rate. Then 429 rate-limited with Retry-After on all twenty operations; a van that retries with the same Idempotency-Key after the wait gets the original, never a second violation (VIO-04).</t>
        </is>
      </c>
      <c r="F29" s="5" t="inlineStr">
        <is>
          <t>GET /v1/violations → 429
POST /v1/violations → 429
GET /v1/violations/d3000000-0000-4000-8000-000000000004 → 429
POST /v1/violations/d3000000-0000-4000-8000-000000000004/review → 429
POST /v1/violations/d3000000-0000-4000-8000-000000000004/issue → 429
POST /v1/violations/d3000000-0000-4000-8000-000000000004/payment → 429
POST /v1/violations/d3000000-0000-4000-8000-000000000004/appeals → 429
POST /v1/violations/d3000000-0000-4000-8000-000000000004/appeals/resolve → 429
POST /v1/violations/d3000000-0000-4000-8000-000000000004/void → 429
GET /v1/enforcement/eligibility → 429
GET /v1/enforcement/policies → 429
POST /v1/enforcement/policies → 429
GET /v1/enforcement/policies/effective → 429
GET /v1/enforcement/policies/d4000000-0000-4000-8000-000000000001 → 429
PUT /v1/enforcement/policies/d4000000-0000-4000-8000-000000000001 → 429
GET /v1/enforcement/signage → 429
POST /v1/enforcement/signage → 429
GET /v1/enforcement/signage/effective → 429
GET /v1/enforcement/signage/d5000000-0000-4000-8000-000000000003 → 429
PUT /v1/enforcement/signage/d5000000-0000-4000-8000-000000000003 → 429</t>
        </is>
      </c>
      <c r="G29" s="5">
        <f>IF(F29="",0,LEN(F29)-LEN(SUBSTITUTE(F29,CHAR(10),""))+1)</f>
        <v/>
      </c>
      <c r="H29" s="5" t="inlineStr"/>
    </row>
    <row r="30">
      <c r="A30" s="5" t="inlineStr">
        <is>
          <t>VIO-29</t>
        </is>
      </c>
      <c r="B30" s="5" t="inlineStr">
        <is>
          <t>Pay now, contest later: a reduced appeal refunds the difference; a paid notice voided in error</t>
        </is>
      </c>
      <c r="C30" s="5" t="inlineStr">
        <is>
          <t>lifecycle</t>
        </is>
      </c>
      <c r="D30" s="5" t="inlineStr">
        <is>
          <t>APX-VIO-02, APX-VIO-04, APX-VIO-05</t>
        </is>
      </c>
      <c r="E30" s="5" t="inlineStr">
        <is>
          <t>Given d3…0021, an automated Lot C notice of $35 issued 2026-09-24 and paid on 2026-09-26 (PaymentRecord d9…0004) by a driver who wanted to stop any late fee; and d3…0022, a $35 notice paid the same day that the operator later finds was issued against a misread plate. When the driver appeals d3…0021 on day 5, inside the 21-day window; the reviewer reduces it to $20 and the portal refunds $15 through Part 13 (d9…0005); and the supervisor voids d3…0022 with the full refund d9…0006. Then appealed with appeal.openedFrom: paid, back to paid at $20 with appeal.refund recorded, and voided from paid with the refund linked. This is the §19.6 path that was unreachable before (F-VIO-13 fixed) and the paid → voided transition (F-VIO-10).</t>
        </is>
      </c>
      <c r="F30" s="5" t="inlineStr">
        <is>
          <t>POST /v1/violations/d3000000-0000-4000-8000-000000000021/appeals → 200
POST /v1/violations/d3000000-0000-4000-8000-000000000021/appeals/resolve → 200
POST /v1/violations/d3000000-0000-4000-8000-000000000022/void → 200</t>
        </is>
      </c>
      <c r="G30" s="5">
        <f>IF(F30="",0,LEN(F30)-LEN(SUBSTITUTE(F30,CHAR(10),""))+1)</f>
        <v/>
      </c>
      <c r="H30" s="5" t="inlineStr"/>
    </row>
  </sheetData>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2612B10DA4DBD46B9F55443F40FDF49" ma:contentTypeVersion="11" ma:contentTypeDescription="Create a new document." ma:contentTypeScope="" ma:versionID="1bf6401b234366b67bb9c92b0a8c5d5d">
  <xsd:schema xmlns:xsd="http://www.w3.org/2001/XMLSchema" xmlns:xs="http://www.w3.org/2001/XMLSchema" xmlns:p="http://schemas.microsoft.com/office/2006/metadata/properties" xmlns:ns2="3c95b590-47a6-4222-a308-afa4067e4bdf" xmlns:ns3="417861b8-ebfa-47f5-a4cf-e0ced1963c89" targetNamespace="http://schemas.microsoft.com/office/2006/metadata/properties" ma:root="true" ma:fieldsID="1f457ec8ec27403ebc558ab78ff0d070" ns2:_="" ns3:_="">
    <xsd:import namespace="3c95b590-47a6-4222-a308-afa4067e4bdf"/>
    <xsd:import namespace="417861b8-ebfa-47f5-a4cf-e0ced1963c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95b590-47a6-4222-a308-afa4067e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4603a5b-482d-4679-a6f9-c44cd3cc63e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17861b8-ebfa-47f5-a4cf-e0ced1963c8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d2a9c05-c203-46b3-a2ce-c262cddfac13}" ma:internalName="TaxCatchAll" ma:showField="CatchAllData" ma:web="417861b8-ebfa-47f5-a4cf-e0ced1963c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95b590-47a6-4222-a308-afa4067e4bdf">
      <Terms xmlns="http://schemas.microsoft.com/office/infopath/2007/PartnerControls"/>
    </lcf76f155ced4ddcb4097134ff3c332f>
    <TaxCatchAll xmlns="417861b8-ebfa-47f5-a4cf-e0ced1963c89" xsi:nil="true"/>
  </documentManagement>
</p:properties>
</file>

<file path=customXml/itemProps1.xml><?xml version="1.0" encoding="utf-8"?>
<ds:datastoreItem xmlns:ds="http://schemas.openxmlformats.org/officeDocument/2006/customXml" ds:itemID="{EC0FA006-09B1-4B5E-8D76-0633632A6DDC}"/>
</file>

<file path=customXml/itemProps2.xml><?xml version="1.0" encoding="utf-8"?>
<ds:datastoreItem xmlns:ds="http://schemas.openxmlformats.org/officeDocument/2006/customXml" ds:itemID="{EA3398A1-8EEF-480C-A191-9F91C75DE93A}"/>
</file>

<file path=customXml/itemProps3.xml><?xml version="1.0" encoding="utf-8"?>
<ds:datastoreItem xmlns:ds="http://schemas.openxmlformats.org/officeDocument/2006/customXml" ds:itemID="{304B0872-116E-49BD-B59A-B3D0B1C693C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2026-09-25T17:31:20Z</dcterms:created>
  <dcterms:modified xsi:type="dcterms:W3CDTF">2026-09-28T09:08:04Z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0x010100E2612B10DA4DBD46B9F55443F40FDF49</vt:lpwstr>
  </property>
  <property fmtid="{D5CDD505-2E9C-101B-9397-08002B2CF9AE}" pid="3" name="MediaServiceImageTags">
    <vt:lpwstr/>
  </property>
</Properties>
</file>